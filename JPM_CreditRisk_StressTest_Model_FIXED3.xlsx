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nielmarkov/Downloads/"/>
    </mc:Choice>
  </mc:AlternateContent>
  <xr:revisionPtr revIDLastSave="0" documentId="8_{C8F8A362-D89B-D646-B51D-3EE6B00C9521}" xr6:coauthVersionLast="47" xr6:coauthVersionMax="47" xr10:uidLastSave="{00000000-0000-0000-0000-000000000000}"/>
  <bookViews>
    <workbookView xWindow="2040" yWindow="500" windowWidth="28800" windowHeight="16300" xr2:uid="{00000000-000D-0000-FFFF-FFFF00000000}"/>
  </bookViews>
  <sheets>
    <sheet name="Guide_&amp;_Sources" sheetId="1" r:id="rId1"/>
    <sheet name="Assumptions" sheetId="2" r:id="rId2"/>
    <sheet name="Base_Financials" sheetId="3" r:id="rId3"/>
    <sheet name="Stress_Input" sheetId="4" r:id="rId4"/>
    <sheet name="Stress_Results" sheetId="5" r:id="rId5"/>
    <sheet name="Covenants" sheetId="6" r:id="rId6"/>
    <sheet name="Brief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5" i="5"/>
  <c r="B2" i="5"/>
  <c r="B4" i="5" s="1"/>
  <c r="B24" i="3"/>
  <c r="B23" i="3"/>
  <c r="B22" i="3"/>
  <c r="B25" i="3" s="1"/>
  <c r="B9" i="5" s="1"/>
  <c r="B17" i="3"/>
  <c r="B16" i="3"/>
  <c r="B15" i="3"/>
  <c r="B19" i="3" s="1"/>
  <c r="B10" i="3"/>
  <c r="B8" i="3"/>
  <c r="B6" i="3"/>
  <c r="B5" i="3"/>
  <c r="B3" i="3"/>
  <c r="B18" i="3" s="1"/>
  <c r="B20" i="3" s="1"/>
  <c r="B2" i="3"/>
  <c r="B4" i="3" s="1"/>
  <c r="B7" i="3" s="1"/>
  <c r="B27" i="3" l="1"/>
  <c r="B9" i="3"/>
  <c r="B28" i="3"/>
  <c r="B6" i="5"/>
  <c r="B14" i="5"/>
  <c r="B31" i="3"/>
  <c r="B3" i="5"/>
  <c r="B19" i="5"/>
  <c r="B19" i="1" s="1"/>
  <c r="B8" i="5" l="1"/>
  <c r="B23" i="5"/>
  <c r="B16" i="5"/>
  <c r="B15" i="5"/>
  <c r="B17" i="5" s="1"/>
  <c r="B18" i="5" s="1"/>
  <c r="B11" i="3"/>
  <c r="B14" i="3"/>
  <c r="B29" i="3"/>
  <c r="B18" i="1"/>
  <c r="D3" i="6"/>
  <c r="E3" i="6" s="1"/>
  <c r="B12" i="3" l="1"/>
  <c r="B13" i="3"/>
  <c r="B21" i="3" s="1"/>
  <c r="B13" i="5"/>
  <c r="B20" i="5" s="1"/>
  <c r="B10" i="5"/>
  <c r="B24" i="5"/>
  <c r="B32" i="3"/>
  <c r="B33" i="3"/>
  <c r="B11" i="5" l="1"/>
  <c r="B12" i="5" s="1"/>
  <c r="G4" i="6"/>
  <c r="H4" i="6" s="1"/>
  <c r="B30" i="3"/>
  <c r="D4" i="6"/>
  <c r="B26" i="3"/>
  <c r="B22" i="1" l="1"/>
  <c r="E4" i="6"/>
  <c r="B17" i="1"/>
  <c r="D2" i="6"/>
  <c r="E2" i="6" s="1"/>
  <c r="B21" i="5"/>
  <c r="G2" i="6" l="1"/>
  <c r="H2" i="6" s="1"/>
  <c r="B20" i="1"/>
  <c r="B22" i="5"/>
  <c r="B21" i="1" l="1"/>
  <c r="G3" i="6"/>
  <c r="H3" i="6" s="1"/>
</calcChain>
</file>

<file path=xl/sharedStrings.xml><?xml version="1.0" encoding="utf-8"?>
<sst xmlns="http://schemas.openxmlformats.org/spreadsheetml/2006/main" count="218" uniqueCount="197">
  <si>
    <t>Credit Risk Brief &amp; Stress Test — JPM (FY2024)</t>
  </si>
  <si>
    <t>How bank GAAP maps to this corporate-style model:</t>
  </si>
  <si>
    <t>Item</t>
  </si>
  <si>
    <t>Source mapping</t>
  </si>
  <si>
    <t>Notes</t>
  </si>
  <si>
    <t>Revenue (model)</t>
  </si>
  <si>
    <t>JPM 'Total net revenue' (net interest income + noninterest revenue).</t>
  </si>
  <si>
    <t>Already net of deposit/loan interest.</t>
  </si>
  <si>
    <t>COGS/COF</t>
  </si>
  <si>
    <t>Set to 0.</t>
  </si>
  <si>
    <t>Avoid double-counting interest.</t>
  </si>
  <si>
    <t>SG&amp;A</t>
  </si>
  <si>
    <t>Noninterest expense less D&amp;A.</t>
  </si>
  <si>
    <t>Keeps D&amp;A separate for EBITDA.</t>
  </si>
  <si>
    <t>D&amp;A</t>
  </si>
  <si>
    <t>Cash flow statement 'depreciation &amp; amortization'.</t>
  </si>
  <si>
    <t>Interest (coverage)</t>
  </si>
  <si>
    <t>LT debt × avg modified rate.</t>
  </si>
  <si>
    <t>Illustrative; deposit interest already netted.</t>
  </si>
  <si>
    <t>Cash</t>
  </si>
  <si>
    <t>Cash and due from banks + deposits with banks.</t>
  </si>
  <si>
    <t>Debt (ST/LT)</t>
  </si>
  <si>
    <t>Short‑term borrowings; Long‑term debt.</t>
  </si>
  <si>
    <t>Default stress (matches résumé)</t>
  </si>
  <si>
    <t>• Revenue −10%, funding +200 bps on % floating LT debt, +5 days DSO &amp; DIO, ΔDPO = 0</t>
  </si>
  <si>
    <t>Auto pointers (read these):</t>
  </si>
  <si>
    <t>Base ND/EBITDA (x)</t>
  </si>
  <si>
    <t>&lt;3.5x typical corporate covenant</t>
  </si>
  <si>
    <t>Base EBITDA/Interest (x)</t>
  </si>
  <si>
    <t>LT‑debt only coverage</t>
  </si>
  <si>
    <t>Stressed FCF proxy ($M)</t>
  </si>
  <si>
    <t>Stressed ND/EBITDA (x)</t>
  </si>
  <si>
    <t>Stressed EBITDA/Interest (x)</t>
  </si>
  <si>
    <t>Liquidity proxy ($M)</t>
  </si>
  <si>
    <t>Cash + undrawn (revolver=0)</t>
  </si>
  <si>
    <t>Primary sources (FY2024) — copy into your memo</t>
  </si>
  <si>
    <t>Reference summary</t>
  </si>
  <si>
    <t>Total net revenue $177,556M; net income $58,471M; total assets $4,002,814M</t>
  </si>
  <si>
    <t>2024 Annual Report / 2024 Form 10‑K summary</t>
  </si>
  <si>
    <t>Total noninterest expense $91,797M</t>
  </si>
  <si>
    <t>2024 Form 10‑K, MD&amp;A (three‑year summary)</t>
  </si>
  <si>
    <t>Cash $23,372M; Deposits with banks $445,945M; total $469,317M</t>
  </si>
  <si>
    <t>2024 Form 10‑K, Consolidated BS &amp; Cash Flows</t>
  </si>
  <si>
    <t>Short‑term borrowings $52,893M; Long‑term debt $401,418M</t>
  </si>
  <si>
    <t>2024 Form 10‑K, Consolidated BS</t>
  </si>
  <si>
    <t>Weighted‑avg modified rate on LT debt ~5.15%</t>
  </si>
  <si>
    <t>2024 Form 10‑K, Long‑term debt note</t>
  </si>
  <si>
    <t>D&amp;A ≈ $7,938M (annual)</t>
  </si>
  <si>
    <t>Cash Flow statement / corroborated by Macrotrends/FinanceCharts</t>
  </si>
  <si>
    <t>Effective tax rate ≈ 22%</t>
  </si>
  <si>
    <t>4Q24 Earnings Supplement (effective tax rate table)</t>
  </si>
  <si>
    <t>2024 net revenue includes ~$7.9B Visa gain</t>
  </si>
  <si>
    <t>2024 Annual Report note</t>
  </si>
  <si>
    <t>Key</t>
  </si>
  <si>
    <t>Value</t>
  </si>
  <si>
    <t>Company</t>
  </si>
  <si>
    <t>JPMorgan Chase &amp; Co. (JPM) — FY2024 baseline</t>
  </si>
  <si>
    <t>Replace if you want a different firm/year</t>
  </si>
  <si>
    <t>Fiscal Year</t>
  </si>
  <si>
    <t>Currency</t>
  </si>
  <si>
    <t>USD (millions)</t>
  </si>
  <si>
    <t>Enter values in $M</t>
  </si>
  <si>
    <t>Tax Rate</t>
  </si>
  <si>
    <t>Effective FY2024 (approx)</t>
  </si>
  <si>
    <t>Avg Interest Rate on Debt</t>
  </si>
  <si>
    <t>Weighted‑avg modified rate on LT debt</t>
  </si>
  <si>
    <t>% Floating Debt</t>
  </si>
  <si>
    <t>Share of LT debt assumed floating (illustrative)</t>
  </si>
  <si>
    <t>SG&amp;A Variable %</t>
  </si>
  <si>
    <t>Portion flexing with revenue (illustrative)</t>
  </si>
  <si>
    <t>Capex % of Revenue</t>
  </si>
  <si>
    <t>Proxy</t>
  </si>
  <si>
    <t>DSO (days)</t>
  </si>
  <si>
    <t>Illustrative for receivables‑like assets</t>
  </si>
  <si>
    <t>DIO (days)</t>
  </si>
  <si>
    <t>Low for banks; set to 0–10</t>
  </si>
  <si>
    <t>DPO (days)</t>
  </si>
  <si>
    <t>Min Cash Target</t>
  </si>
  <si>
    <t>$M buffer</t>
  </si>
  <si>
    <t>Revolver Capacity</t>
  </si>
  <si>
    <t>Not applicable to banks</t>
  </si>
  <si>
    <t>Revolver Drawn</t>
  </si>
  <si>
    <t>Revenue</t>
  </si>
  <si>
    <t>Total net revenue (GAAP)</t>
  </si>
  <si>
    <t>COGS/COF (Cost of Funds)</t>
  </si>
  <si>
    <t>Net revenue already nets deposit/loan interest</t>
  </si>
  <si>
    <t>Noninterest expense (91,797) less D&amp;A to avoid double count</t>
  </si>
  <si>
    <t>Other OpEx</t>
  </si>
  <si>
    <t>Included in noninterest expense above</t>
  </si>
  <si>
    <t>Depreciation &amp; amortization (annual)</t>
  </si>
  <si>
    <t>Cash + Deposits with banks (consolidated)</t>
  </si>
  <si>
    <t>Debt - Short Term</t>
  </si>
  <si>
    <t>Short‑term borrowings</t>
  </si>
  <si>
    <t>Debt - Long Term</t>
  </si>
  <si>
    <t>Long‑term debt</t>
  </si>
  <si>
    <t>Metric</t>
  </si>
  <si>
    <t>Gross Profit</t>
  </si>
  <si>
    <t>(= Revenue because COF=0 for banks)</t>
  </si>
  <si>
    <t>EBITDA</t>
  </si>
  <si>
    <t>EBIT</t>
  </si>
  <si>
    <t>Interest Expense (LT debt only)</t>
  </si>
  <si>
    <t>Illustrative coverage metric</t>
  </si>
  <si>
    <t>EBT</t>
  </si>
  <si>
    <t>Taxes</t>
  </si>
  <si>
    <t>Net Income</t>
  </si>
  <si>
    <t>NOPAT</t>
  </si>
  <si>
    <t>Capex</t>
  </si>
  <si>
    <t>AR (from DSO)</t>
  </si>
  <si>
    <t>Inventory (from DIO)</t>
  </si>
  <si>
    <t>AP (from DPO)</t>
  </si>
  <si>
    <t>NWC</t>
  </si>
  <si>
    <t>ΔNWC (YTD proxy)</t>
  </si>
  <si>
    <t>FCF (proxy)</t>
  </si>
  <si>
    <t>NOPAT + D&amp;A - Capex - ΔNWC</t>
  </si>
  <si>
    <t>Debt - ST</t>
  </si>
  <si>
    <t>Debt - LT</t>
  </si>
  <si>
    <t>Total Debt</t>
  </si>
  <si>
    <t>Net Debt</t>
  </si>
  <si>
    <t>Net Debt / EBITDA</t>
  </si>
  <si>
    <t>EBITDA / Interest</t>
  </si>
  <si>
    <t>EBIT / Interest</t>
  </si>
  <si>
    <t>Current Assets (Cash+AR+Inv)</t>
  </si>
  <si>
    <t>Current Liabilities (AP+ST Debt)</t>
  </si>
  <si>
    <t>Current Ratio</t>
  </si>
  <si>
    <t>Quick Ratio</t>
  </si>
  <si>
    <t>Parameter</t>
  </si>
  <si>
    <t>Revenue Shock %</t>
  </si>
  <si>
    <t>-10% revenue (résumé default)</t>
  </si>
  <si>
    <t>Funding Cost +bps</t>
  </si>
  <si>
    <t>+200 bps on % floating LT debt</t>
  </si>
  <si>
    <t>Δ DSO (days)</t>
  </si>
  <si>
    <t>Δ DIO (days)</t>
  </si>
  <si>
    <t>Δ DPO (days)</t>
  </si>
  <si>
    <t>SG&amp;A Variable % Override</t>
  </si>
  <si>
    <t>blank = use Assumptions</t>
  </si>
  <si>
    <t>Stressed Value</t>
  </si>
  <si>
    <t>Revenue (stressed)</t>
  </si>
  <si>
    <t>COGS/COF (stressed)</t>
  </si>
  <si>
    <t>Hold base % (0 for banks)</t>
  </si>
  <si>
    <t>SG&amp;A (stressed)</t>
  </si>
  <si>
    <t>Variable share scales with revenue; fixed share stays flat</t>
  </si>
  <si>
    <t>Other OpEx (stressed)</t>
  </si>
  <si>
    <t>EBITDA (stressed)</t>
  </si>
  <si>
    <t>D&amp;A (stressed)</t>
  </si>
  <si>
    <t>EBIT (stressed)</t>
  </si>
  <si>
    <t>Interest Expense (stressed)</t>
  </si>
  <si>
    <t>Shock only on floating LT debt</t>
  </si>
  <si>
    <t>EBT (stressed)</t>
  </si>
  <si>
    <t>Taxes (stressed)</t>
  </si>
  <si>
    <t>Net Income (stressed)</t>
  </si>
  <si>
    <t>NOPAT (stressed)</t>
  </si>
  <si>
    <t>AR (stressed)</t>
  </si>
  <si>
    <t>Inventory (stressed)</t>
  </si>
  <si>
    <t>AP (stressed)</t>
  </si>
  <si>
    <t>NWC (stressed)</t>
  </si>
  <si>
    <t>ΔNWC (stressed)</t>
  </si>
  <si>
    <t>Capex (stressed)</t>
  </si>
  <si>
    <t>FCF (proxy, stressed)</t>
  </si>
  <si>
    <t>Net Debt (base)</t>
  </si>
  <si>
    <t>Net Debt / EBITDA (stressed)</t>
  </si>
  <si>
    <t>EBITDA/Interest (stressed)</t>
  </si>
  <si>
    <t>EBIT/Interest (stressed)</t>
  </si>
  <si>
    <t>Covenant / Limit</t>
  </si>
  <si>
    <t>Threshold</t>
  </si>
  <si>
    <t>Base Metric</t>
  </si>
  <si>
    <t>Base Value</t>
  </si>
  <si>
    <t>Base Status</t>
  </si>
  <si>
    <t>Stressed Metric</t>
  </si>
  <si>
    <t>Stressed Status</t>
  </si>
  <si>
    <t>Max Net Debt/EBITDA</t>
  </si>
  <si>
    <t>Base: ND/EBITDA</t>
  </si>
  <si>
    <t>Stressed: ND/EBITDA</t>
  </si>
  <si>
    <t>Illustrative for a bank</t>
  </si>
  <si>
    <t>Min EBITDA/Interest</t>
  </si>
  <si>
    <t>Base: EBITDA/Int</t>
  </si>
  <si>
    <t>Stressed: EBITDA/Int</t>
  </si>
  <si>
    <t>Uses LT‑debt interest only</t>
  </si>
  <si>
    <t>Min Liquidity ($M)</t>
  </si>
  <si>
    <t>Cash+Undrawn Rev (base)</t>
  </si>
  <si>
    <t>Cash+Undrawn Rev (stressed)</t>
  </si>
  <si>
    <t>Banks don't use revolvers; set to cash only</t>
  </si>
  <si>
    <t>Section</t>
  </si>
  <si>
    <t>Content</t>
  </si>
  <si>
    <t>Borrower &amp; Facilities</t>
  </si>
  <si>
    <t>JPMorgan Chase &amp; Co. (JPM). Funding via deposits (not modeled), short‑term borrowings and LT senior/structured notes. Purpose: liquidity/funding.</t>
  </si>
  <si>
    <t>Business &amp; Financial Profile</t>
  </si>
  <si>
    <t>Rev ($M): =Base_Financials!B1  |  EBITDA ($M): =Base_Financials!B6  |  Net Debt ($M): =Base_Financials!B25</t>
  </si>
  <si>
    <t>Key Ratios (Base)</t>
  </si>
  <si>
    <t>ND/EBITDA: =Base_Financials!B26  |  EBITDA/Int: =Base_Financials!B27  |  Current Ratio: =Base_Financials!B30 (corporate proxy)</t>
  </si>
  <si>
    <t>Liquidity</t>
  </si>
  <si>
    <t>Cash ($M): =Base_Financials!B21  |  Undrawn Rev ($M): =Assumptions!B13-Assumptions!B14</t>
  </si>
  <si>
    <t>Stress Scenario</t>
  </si>
  <si>
    <t>Rev shock: =Stress_Input!B2 ; +bps on floating LT debt: =Stress_Input!B3 ; ΔDSO: =Stress_Input!B4 ; ΔDIO: =Stress_Input!B5 ; ΔDPO: =Stress_Input!B6</t>
  </si>
  <si>
    <t>Stress Results — Headline</t>
  </si>
  <si>
    <t>FCF (stressed, $M): =Stress_Results!B19  |  ND/EBITDA: =Stress_Results!B21  |  EBITDA/Int: =Stress_Results!B22</t>
  </si>
  <si>
    <t>Interpretation &amp; Mitigants</t>
  </si>
  <si>
    <t>Coverage uses LT‑debt interest only (deposit interest is netted in revenue). Mitigants: tighten risk limits; add collateral/pricing triggers; hedge rate exposure; monitor EWIs: coverage&lt;3x, ND/EBITDA&gt;3.5x, DSO/DIO creep, liquidity draw.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</si>
</sst>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3" workbookViewId="0">
      <selection activeCell="C16" sqref="C16"/>
    </sheetView>
  </sheetViews>
  <sheetFormatPr baseColWidth="10" defaultColWidth="8.83203125" defaultRowHeight="15" x14ac:dyDescent="0.2"/>
  <cols>
    <col min="1" max="1" width="38" customWidth="1"/>
    <col min="2" max="2" width="22" customWidth="1"/>
    <col min="3" max="3" width="60" customWidth="1"/>
    <col min="4" max="4" width="8" customWidth="1"/>
  </cols>
  <sheetData>
    <row r="1" spans="1:4" x14ac:dyDescent="0.2">
      <c r="A1" s="1" t="s">
        <v>0</v>
      </c>
      <c r="B1" s="2"/>
      <c r="C1" s="2"/>
      <c r="D1" s="2"/>
    </row>
    <row r="3" spans="1:4" x14ac:dyDescent="0.2">
      <c r="A3" t="s">
        <v>1</v>
      </c>
    </row>
    <row r="4" spans="1:4" x14ac:dyDescent="0.2">
      <c r="A4" t="s">
        <v>2</v>
      </c>
      <c r="B4" t="s">
        <v>3</v>
      </c>
      <c r="C4" t="s">
        <v>4</v>
      </c>
    </row>
    <row r="5" spans="1:4" x14ac:dyDescent="0.2">
      <c r="A5" t="s">
        <v>5</v>
      </c>
      <c r="B5" t="s">
        <v>6</v>
      </c>
      <c r="C5" t="s">
        <v>7</v>
      </c>
    </row>
    <row r="6" spans="1:4" x14ac:dyDescent="0.2">
      <c r="A6" t="s">
        <v>8</v>
      </c>
      <c r="B6" t="s">
        <v>9</v>
      </c>
      <c r="C6" t="s">
        <v>10</v>
      </c>
    </row>
    <row r="7" spans="1:4" x14ac:dyDescent="0.2">
      <c r="A7" t="s">
        <v>11</v>
      </c>
      <c r="B7" t="s">
        <v>12</v>
      </c>
      <c r="C7" t="s">
        <v>13</v>
      </c>
    </row>
    <row r="8" spans="1:4" x14ac:dyDescent="0.2">
      <c r="A8" t="s">
        <v>14</v>
      </c>
      <c r="B8" t="s">
        <v>15</v>
      </c>
    </row>
    <row r="9" spans="1:4" x14ac:dyDescent="0.2">
      <c r="A9" t="s">
        <v>16</v>
      </c>
      <c r="B9" t="s">
        <v>17</v>
      </c>
      <c r="C9" t="s">
        <v>18</v>
      </c>
    </row>
    <row r="10" spans="1:4" x14ac:dyDescent="0.2">
      <c r="A10" t="s">
        <v>19</v>
      </c>
      <c r="B10" t="s">
        <v>20</v>
      </c>
    </row>
    <row r="11" spans="1:4" x14ac:dyDescent="0.2">
      <c r="A11" t="s">
        <v>21</v>
      </c>
      <c r="B11" t="s">
        <v>22</v>
      </c>
    </row>
    <row r="13" spans="1:4" x14ac:dyDescent="0.2">
      <c r="A13" t="s">
        <v>23</v>
      </c>
    </row>
    <row r="14" spans="1:4" x14ac:dyDescent="0.2">
      <c r="A14" t="s">
        <v>24</v>
      </c>
    </row>
    <row r="16" spans="1:4" x14ac:dyDescent="0.2">
      <c r="A16" t="s">
        <v>25</v>
      </c>
    </row>
    <row r="17" spans="1:3" x14ac:dyDescent="0.2">
      <c r="A17" t="s">
        <v>26</v>
      </c>
      <c r="B17">
        <f>Base_Financials!B26</f>
        <v>429273.54584121919</v>
      </c>
      <c r="C17" t="s">
        <v>27</v>
      </c>
    </row>
    <row r="18" spans="1:3" x14ac:dyDescent="0.2">
      <c r="A18" t="s">
        <v>28</v>
      </c>
      <c r="B18">
        <f>Base_Financials!B27</f>
        <v>5.5733908236122822</v>
      </c>
      <c r="C18" t="s">
        <v>29</v>
      </c>
    </row>
    <row r="19" spans="1:3" x14ac:dyDescent="0.2">
      <c r="A19" t="s">
        <v>30</v>
      </c>
      <c r="B19">
        <f>Stress_Results!B19</f>
        <v>2397.0059999999999</v>
      </c>
    </row>
    <row r="20" spans="1:3" x14ac:dyDescent="0.2">
      <c r="A20" t="s">
        <v>31</v>
      </c>
      <c r="B20">
        <f>Stress_Results!B21</f>
        <v>429273.54584121919</v>
      </c>
    </row>
    <row r="21" spans="1:3" x14ac:dyDescent="0.2">
      <c r="A21" t="s">
        <v>32</v>
      </c>
      <c r="B21">
        <f>Stress_Results!B22</f>
        <v>5.4714380577481858</v>
      </c>
    </row>
    <row r="22" spans="1:3" x14ac:dyDescent="0.2">
      <c r="A22" t="s">
        <v>33</v>
      </c>
      <c r="B22">
        <f>Covenants!D4</f>
        <v>-17855.54584121918</v>
      </c>
      <c r="C22" t="s">
        <v>34</v>
      </c>
    </row>
    <row r="24" spans="1:3" x14ac:dyDescent="0.2">
      <c r="A24" t="s">
        <v>35</v>
      </c>
    </row>
    <row r="25" spans="1:3" x14ac:dyDescent="0.2">
      <c r="A25" t="s">
        <v>2</v>
      </c>
      <c r="B25" t="s">
        <v>36</v>
      </c>
    </row>
    <row r="26" spans="1:3" x14ac:dyDescent="0.2">
      <c r="A26" t="s">
        <v>37</v>
      </c>
      <c r="B26" t="s">
        <v>38</v>
      </c>
    </row>
    <row r="27" spans="1:3" x14ac:dyDescent="0.2">
      <c r="A27" t="s">
        <v>39</v>
      </c>
      <c r="B27" t="s">
        <v>40</v>
      </c>
    </row>
    <row r="28" spans="1:3" x14ac:dyDescent="0.2">
      <c r="A28" t="s">
        <v>41</v>
      </c>
      <c r="B28" t="s">
        <v>42</v>
      </c>
    </row>
    <row r="29" spans="1:3" x14ac:dyDescent="0.2">
      <c r="A29" t="s">
        <v>43</v>
      </c>
      <c r="B29" t="s">
        <v>44</v>
      </c>
    </row>
    <row r="30" spans="1:3" x14ac:dyDescent="0.2">
      <c r="A30" t="s">
        <v>45</v>
      </c>
      <c r="B30" t="s">
        <v>46</v>
      </c>
    </row>
    <row r="31" spans="1:3" x14ac:dyDescent="0.2">
      <c r="A31" t="s">
        <v>47</v>
      </c>
      <c r="B31" t="s">
        <v>48</v>
      </c>
    </row>
    <row r="32" spans="1:3" x14ac:dyDescent="0.2">
      <c r="A32" t="s">
        <v>49</v>
      </c>
      <c r="B32" t="s">
        <v>50</v>
      </c>
    </row>
    <row r="33" spans="1:2" x14ac:dyDescent="0.2">
      <c r="A33" t="s">
        <v>51</v>
      </c>
      <c r="B33" t="s">
        <v>52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baseColWidth="10" defaultColWidth="8.83203125" defaultRowHeight="15" x14ac:dyDescent="0.2"/>
  <cols>
    <col min="1" max="1" width="36" customWidth="1"/>
    <col min="2" max="2" width="20" customWidth="1"/>
    <col min="3" max="3" width="60" customWidth="1"/>
  </cols>
  <sheetData>
    <row r="1" spans="1:3" x14ac:dyDescent="0.2">
      <c r="A1" t="s">
        <v>53</v>
      </c>
      <c r="B1" t="s">
        <v>54</v>
      </c>
      <c r="C1" t="s">
        <v>4</v>
      </c>
    </row>
    <row r="2" spans="1:3" x14ac:dyDescent="0.2">
      <c r="A2" t="s">
        <v>55</v>
      </c>
      <c r="B2" t="s">
        <v>56</v>
      </c>
      <c r="C2" t="s">
        <v>57</v>
      </c>
    </row>
    <row r="3" spans="1:3" x14ac:dyDescent="0.2">
      <c r="A3" t="s">
        <v>58</v>
      </c>
      <c r="B3">
        <v>2024</v>
      </c>
    </row>
    <row r="4" spans="1:3" x14ac:dyDescent="0.2">
      <c r="A4" t="s">
        <v>59</v>
      </c>
      <c r="B4" t="s">
        <v>60</v>
      </c>
      <c r="C4" t="s">
        <v>61</v>
      </c>
    </row>
    <row r="5" spans="1:3" x14ac:dyDescent="0.2">
      <c r="A5" t="s">
        <v>62</v>
      </c>
      <c r="B5">
        <v>0.221</v>
      </c>
      <c r="C5" t="s">
        <v>63</v>
      </c>
    </row>
    <row r="6" spans="1:3" x14ac:dyDescent="0.2">
      <c r="A6" t="s">
        <v>64</v>
      </c>
      <c r="B6">
        <v>5.1499999999999997E-2</v>
      </c>
      <c r="C6" t="s">
        <v>65</v>
      </c>
    </row>
    <row r="7" spans="1:3" x14ac:dyDescent="0.2">
      <c r="A7" t="s">
        <v>66</v>
      </c>
      <c r="B7">
        <v>0.4</v>
      </c>
      <c r="C7" t="s">
        <v>67</v>
      </c>
    </row>
    <row r="8" spans="1:3" x14ac:dyDescent="0.2">
      <c r="A8" t="s">
        <v>68</v>
      </c>
      <c r="B8">
        <v>0.3</v>
      </c>
      <c r="C8" t="s">
        <v>69</v>
      </c>
    </row>
    <row r="9" spans="1:3" x14ac:dyDescent="0.2">
      <c r="A9" t="s">
        <v>70</v>
      </c>
      <c r="B9">
        <v>1.4999999999999999E-2</v>
      </c>
      <c r="C9" t="s">
        <v>71</v>
      </c>
    </row>
    <row r="10" spans="1:3" x14ac:dyDescent="0.2">
      <c r="A10" t="s">
        <v>72</v>
      </c>
      <c r="B10">
        <v>35</v>
      </c>
      <c r="C10" t="s">
        <v>73</v>
      </c>
    </row>
    <row r="11" spans="1:3" x14ac:dyDescent="0.2">
      <c r="A11" t="s">
        <v>74</v>
      </c>
      <c r="B11">
        <v>10</v>
      </c>
      <c r="C11" t="s">
        <v>75</v>
      </c>
    </row>
    <row r="12" spans="1:3" x14ac:dyDescent="0.2">
      <c r="A12" t="s">
        <v>76</v>
      </c>
      <c r="B12">
        <v>20</v>
      </c>
    </row>
    <row r="13" spans="1:3" x14ac:dyDescent="0.2">
      <c r="A13" t="s">
        <v>77</v>
      </c>
      <c r="B13">
        <v>10000</v>
      </c>
      <c r="C13" t="s">
        <v>78</v>
      </c>
    </row>
    <row r="14" spans="1:3" x14ac:dyDescent="0.2">
      <c r="A14" t="s">
        <v>79</v>
      </c>
      <c r="B14">
        <v>0</v>
      </c>
      <c r="C14" t="s">
        <v>80</v>
      </c>
    </row>
    <row r="15" spans="1:3" x14ac:dyDescent="0.2">
      <c r="A15" t="s">
        <v>81</v>
      </c>
      <c r="B15">
        <v>0</v>
      </c>
      <c r="C15" t="s">
        <v>80</v>
      </c>
    </row>
    <row r="16" spans="1:3" x14ac:dyDescent="0.2">
      <c r="A16" t="s">
        <v>82</v>
      </c>
      <c r="B16">
        <v>177556</v>
      </c>
      <c r="C16" t="s">
        <v>83</v>
      </c>
    </row>
    <row r="17" spans="1:3" x14ac:dyDescent="0.2">
      <c r="A17" t="s">
        <v>84</v>
      </c>
      <c r="B17">
        <v>0</v>
      </c>
      <c r="C17" t="s">
        <v>85</v>
      </c>
    </row>
    <row r="18" spans="1:3" x14ac:dyDescent="0.2">
      <c r="A18" t="s">
        <v>11</v>
      </c>
      <c r="B18">
        <v>83859</v>
      </c>
      <c r="C18" t="s">
        <v>86</v>
      </c>
    </row>
    <row r="19" spans="1:3" x14ac:dyDescent="0.2">
      <c r="A19" t="s">
        <v>87</v>
      </c>
      <c r="B19">
        <v>0</v>
      </c>
      <c r="C19" t="s">
        <v>88</v>
      </c>
    </row>
    <row r="20" spans="1:3" x14ac:dyDescent="0.2">
      <c r="A20" t="s">
        <v>14</v>
      </c>
      <c r="B20">
        <v>7938</v>
      </c>
      <c r="C20" t="s">
        <v>89</v>
      </c>
    </row>
    <row r="21" spans="1:3" x14ac:dyDescent="0.2">
      <c r="A21" t="s">
        <v>19</v>
      </c>
      <c r="B21">
        <v>469317</v>
      </c>
      <c r="C21" t="s">
        <v>90</v>
      </c>
    </row>
    <row r="22" spans="1:3" x14ac:dyDescent="0.2">
      <c r="A22" t="s">
        <v>91</v>
      </c>
      <c r="B22">
        <v>52893</v>
      </c>
      <c r="C22" t="s">
        <v>92</v>
      </c>
    </row>
    <row r="23" spans="1:3" x14ac:dyDescent="0.2">
      <c r="A23" t="s">
        <v>93</v>
      </c>
      <c r="B23">
        <v>401418</v>
      </c>
      <c r="C23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/>
  </sheetViews>
  <sheetFormatPr baseColWidth="10" defaultColWidth="8.83203125" defaultRowHeight="15" x14ac:dyDescent="0.2"/>
  <cols>
    <col min="1" max="1" width="36" customWidth="1"/>
    <col min="2" max="2" width="20" customWidth="1"/>
    <col min="3" max="3" width="46" customWidth="1"/>
  </cols>
  <sheetData>
    <row r="1" spans="1:3" x14ac:dyDescent="0.2">
      <c r="A1" t="s">
        <v>95</v>
      </c>
      <c r="B1" t="s">
        <v>54</v>
      </c>
      <c r="C1" t="s">
        <v>4</v>
      </c>
    </row>
    <row r="2" spans="1:3" x14ac:dyDescent="0.2">
      <c r="A2" t="s">
        <v>82</v>
      </c>
      <c r="B2">
        <f>Assumptions!B16</f>
        <v>177556</v>
      </c>
    </row>
    <row r="3" spans="1:3" x14ac:dyDescent="0.2">
      <c r="A3" t="s">
        <v>8</v>
      </c>
      <c r="B3">
        <f>Assumptions!B17</f>
        <v>0</v>
      </c>
    </row>
    <row r="4" spans="1:3" x14ac:dyDescent="0.2">
      <c r="A4" t="s">
        <v>96</v>
      </c>
      <c r="B4">
        <f>B2-B3</f>
        <v>177556</v>
      </c>
      <c r="C4" t="s">
        <v>97</v>
      </c>
    </row>
    <row r="5" spans="1:3" x14ac:dyDescent="0.2">
      <c r="A5" t="s">
        <v>11</v>
      </c>
      <c r="B5">
        <f>Assumptions!B18</f>
        <v>83859</v>
      </c>
    </row>
    <row r="6" spans="1:3" x14ac:dyDescent="0.2">
      <c r="A6" t="s">
        <v>87</v>
      </c>
      <c r="B6">
        <f>Assumptions!B19</f>
        <v>0</v>
      </c>
    </row>
    <row r="7" spans="1:3" x14ac:dyDescent="0.2">
      <c r="A7" t="s">
        <v>98</v>
      </c>
      <c r="B7">
        <f>B4-B5-B6</f>
        <v>93697</v>
      </c>
    </row>
    <row r="8" spans="1:3" x14ac:dyDescent="0.2">
      <c r="A8" t="s">
        <v>14</v>
      </c>
      <c r="B8">
        <f>Assumptions!B20</f>
        <v>7938</v>
      </c>
    </row>
    <row r="9" spans="1:3" x14ac:dyDescent="0.2">
      <c r="A9" t="s">
        <v>99</v>
      </c>
      <c r="B9">
        <f>B7-B8</f>
        <v>85759</v>
      </c>
    </row>
    <row r="10" spans="1:3" x14ac:dyDescent="0.2">
      <c r="A10" t="s">
        <v>100</v>
      </c>
      <c r="B10">
        <f>Assumptions!B23*Assumptions!B6</f>
        <v>20673.026999999998</v>
      </c>
      <c r="C10" t="s">
        <v>101</v>
      </c>
    </row>
    <row r="11" spans="1:3" x14ac:dyDescent="0.2">
      <c r="A11" t="s">
        <v>102</v>
      </c>
      <c r="B11">
        <f>B9-B10</f>
        <v>65085.972999999998</v>
      </c>
    </row>
    <row r="12" spans="1:3" x14ac:dyDescent="0.2">
      <c r="A12" t="s">
        <v>103</v>
      </c>
      <c r="B12">
        <f>B11*Assumptions!B5</f>
        <v>14384.000033</v>
      </c>
    </row>
    <row r="13" spans="1:3" x14ac:dyDescent="0.2">
      <c r="A13" t="s">
        <v>104</v>
      </c>
      <c r="B13">
        <f>B11-B12</f>
        <v>50701.972966999994</v>
      </c>
    </row>
    <row r="14" spans="1:3" x14ac:dyDescent="0.2">
      <c r="A14" t="s">
        <v>105</v>
      </c>
      <c r="B14">
        <f>B9*(1-Assumptions!B5)</f>
        <v>66806.260999999999</v>
      </c>
    </row>
    <row r="15" spans="1:3" x14ac:dyDescent="0.2">
      <c r="A15" t="s">
        <v>106</v>
      </c>
      <c r="B15">
        <f>Assumptions!B9*B2</f>
        <v>2663.3399999999997</v>
      </c>
    </row>
    <row r="16" spans="1:3" x14ac:dyDescent="0.2">
      <c r="A16" t="s">
        <v>107</v>
      </c>
      <c r="B16">
        <f>B2/365*Assumptions!B10</f>
        <v>17025.917808219176</v>
      </c>
    </row>
    <row r="17" spans="1:3" x14ac:dyDescent="0.2">
      <c r="A17" t="s">
        <v>108</v>
      </c>
      <c r="B17">
        <f>B3/365*Assumptions!B11</f>
        <v>0</v>
      </c>
    </row>
    <row r="18" spans="1:3" x14ac:dyDescent="0.2">
      <c r="A18" t="s">
        <v>109</v>
      </c>
      <c r="B18">
        <f>B3/365*Assumptions!B12</f>
        <v>0</v>
      </c>
    </row>
    <row r="19" spans="1:3" x14ac:dyDescent="0.2">
      <c r="A19" t="s">
        <v>110</v>
      </c>
      <c r="B19">
        <f>B15+B16-B17</f>
        <v>19689.257808219176</v>
      </c>
    </row>
    <row r="20" spans="1:3" x14ac:dyDescent="0.2">
      <c r="A20" t="s">
        <v>111</v>
      </c>
      <c r="B20">
        <f>B18</f>
        <v>0</v>
      </c>
    </row>
    <row r="21" spans="1:3" x14ac:dyDescent="0.2">
      <c r="A21" t="s">
        <v>112</v>
      </c>
      <c r="B21">
        <f>B13 + B8 - B14 - B19</f>
        <v>-27855.54584121918</v>
      </c>
      <c r="C21" t="s">
        <v>113</v>
      </c>
    </row>
    <row r="22" spans="1:3" x14ac:dyDescent="0.2">
      <c r="A22" t="s">
        <v>19</v>
      </c>
      <c r="B22">
        <f>Assumptions!B21</f>
        <v>469317</v>
      </c>
    </row>
    <row r="23" spans="1:3" x14ac:dyDescent="0.2">
      <c r="A23" t="s">
        <v>114</v>
      </c>
      <c r="B23">
        <f>Assumptions!B22</f>
        <v>52893</v>
      </c>
    </row>
    <row r="24" spans="1:3" x14ac:dyDescent="0.2">
      <c r="A24" t="s">
        <v>115</v>
      </c>
      <c r="B24">
        <f>Assumptions!B23</f>
        <v>401418</v>
      </c>
    </row>
    <row r="25" spans="1:3" x14ac:dyDescent="0.2">
      <c r="A25" t="s">
        <v>116</v>
      </c>
      <c r="B25">
        <f>B22+B23</f>
        <v>522210</v>
      </c>
    </row>
    <row r="26" spans="1:3" x14ac:dyDescent="0.2">
      <c r="A26" t="s">
        <v>117</v>
      </c>
      <c r="B26">
        <f>B24-B21</f>
        <v>429273.54584121919</v>
      </c>
    </row>
    <row r="27" spans="1:3" x14ac:dyDescent="0.2">
      <c r="A27" t="s">
        <v>118</v>
      </c>
      <c r="B27">
        <f>IF(B7=0,"",B25/B7)</f>
        <v>5.5733908236122822</v>
      </c>
    </row>
    <row r="28" spans="1:3" x14ac:dyDescent="0.2">
      <c r="A28" t="s">
        <v>119</v>
      </c>
      <c r="B28">
        <f>IF(B10=0,"",B7/B10)</f>
        <v>4.5323309450522178</v>
      </c>
    </row>
    <row r="29" spans="1:3" x14ac:dyDescent="0.2">
      <c r="A29" t="s">
        <v>120</v>
      </c>
      <c r="B29">
        <f>IF(B10=0,"",B9/B10)</f>
        <v>4.1483523433699387</v>
      </c>
    </row>
    <row r="30" spans="1:3" x14ac:dyDescent="0.2">
      <c r="A30" t="s">
        <v>121</v>
      </c>
      <c r="B30">
        <f>B21+B15+B16</f>
        <v>-8166.2880330000044</v>
      </c>
    </row>
    <row r="31" spans="1:3" x14ac:dyDescent="0.2">
      <c r="A31" t="s">
        <v>122</v>
      </c>
      <c r="B31">
        <f>B17+B22</f>
        <v>469317</v>
      </c>
    </row>
    <row r="32" spans="1:3" x14ac:dyDescent="0.2">
      <c r="A32" t="s">
        <v>123</v>
      </c>
      <c r="B32">
        <f>IF(B29=0,"",B28/B29)</f>
        <v>1.0925617136393848</v>
      </c>
    </row>
    <row r="33" spans="1:2" x14ac:dyDescent="0.2">
      <c r="A33" t="s">
        <v>124</v>
      </c>
      <c r="B33">
        <f>IF(B29=0,"",(B21+B15)/B29)</f>
        <v>-6072.822112490604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baseColWidth="10" defaultColWidth="8.83203125" defaultRowHeight="15" x14ac:dyDescent="0.2"/>
  <cols>
    <col min="1" max="1" width="32" customWidth="1"/>
    <col min="2" max="2" width="16" customWidth="1"/>
    <col min="3" max="3" width="54" customWidth="1"/>
  </cols>
  <sheetData>
    <row r="1" spans="1:3" x14ac:dyDescent="0.2">
      <c r="A1" t="s">
        <v>125</v>
      </c>
      <c r="B1" t="s">
        <v>54</v>
      </c>
      <c r="C1" t="s">
        <v>4</v>
      </c>
    </row>
    <row r="2" spans="1:3" x14ac:dyDescent="0.2">
      <c r="A2" t="s">
        <v>126</v>
      </c>
      <c r="B2">
        <v>-0.1</v>
      </c>
      <c r="C2" t="s">
        <v>127</v>
      </c>
    </row>
    <row r="3" spans="1:3" x14ac:dyDescent="0.2">
      <c r="A3" t="s">
        <v>128</v>
      </c>
      <c r="B3">
        <v>200</v>
      </c>
      <c r="C3" t="s">
        <v>129</v>
      </c>
    </row>
    <row r="4" spans="1:3" x14ac:dyDescent="0.2">
      <c r="A4" t="s">
        <v>130</v>
      </c>
      <c r="B4">
        <v>5</v>
      </c>
    </row>
    <row r="5" spans="1:3" x14ac:dyDescent="0.2">
      <c r="A5" t="s">
        <v>131</v>
      </c>
      <c r="B5">
        <v>5</v>
      </c>
    </row>
    <row r="6" spans="1:3" x14ac:dyDescent="0.2">
      <c r="A6" t="s">
        <v>132</v>
      </c>
      <c r="B6">
        <v>0</v>
      </c>
    </row>
    <row r="7" spans="1:3" x14ac:dyDescent="0.2">
      <c r="A7" t="s">
        <v>133</v>
      </c>
      <c r="C7" t="s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/>
  </sheetViews>
  <sheetFormatPr baseColWidth="10" defaultColWidth="8.83203125" defaultRowHeight="15" x14ac:dyDescent="0.2"/>
  <cols>
    <col min="1" max="1" width="40" customWidth="1"/>
    <col min="2" max="2" width="20" customWidth="1"/>
    <col min="3" max="3" width="52" customWidth="1"/>
  </cols>
  <sheetData>
    <row r="1" spans="1:3" x14ac:dyDescent="0.2">
      <c r="A1" t="s">
        <v>95</v>
      </c>
      <c r="B1" t="s">
        <v>135</v>
      </c>
      <c r="C1" t="s">
        <v>4</v>
      </c>
    </row>
    <row r="2" spans="1:3" x14ac:dyDescent="0.2">
      <c r="A2" t="s">
        <v>136</v>
      </c>
      <c r="B2">
        <f>N(Base_Financials!B2)*(1+N(Stress_Input!B2))</f>
        <v>159800.4</v>
      </c>
    </row>
    <row r="3" spans="1:3" x14ac:dyDescent="0.2">
      <c r="A3" t="s">
        <v>137</v>
      </c>
      <c r="B3">
        <f>IFERROR(N(Base_Financials!B3)/N(Base_Financials!B2)*B2,0)</f>
        <v>0</v>
      </c>
      <c r="C3" t="s">
        <v>138</v>
      </c>
    </row>
    <row r="4" spans="1:3" x14ac:dyDescent="0.2">
      <c r="A4" t="s">
        <v>139</v>
      </c>
      <c r="B4">
        <f>N(Base_Financials!B5)*( (IF(ISNUMBER(Stress_Input!B7),N(Stress_Input!B7),N(Assumptions!B8)))*(B2/N(Base_Financials!B2)) + (1-IF(ISNUMBER(Stress_Input!B7),N(Stress_Input!B7),N(Assumptions!B8))))</f>
        <v>81343.23</v>
      </c>
      <c r="C4" t="s">
        <v>140</v>
      </c>
    </row>
    <row r="5" spans="1:3" x14ac:dyDescent="0.2">
      <c r="A5" t="s">
        <v>141</v>
      </c>
      <c r="B5">
        <f>N(Base_Financials!B6)</f>
        <v>0</v>
      </c>
    </row>
    <row r="6" spans="1:3" x14ac:dyDescent="0.2">
      <c r="A6" t="s">
        <v>142</v>
      </c>
      <c r="B6">
        <f>B2-B3-B4-B5</f>
        <v>78457.17</v>
      </c>
    </row>
    <row r="7" spans="1:3" x14ac:dyDescent="0.2">
      <c r="A7" t="s">
        <v>143</v>
      </c>
      <c r="B7">
        <f>N(Base_Financials!B8)</f>
        <v>7938</v>
      </c>
    </row>
    <row r="8" spans="1:3" x14ac:dyDescent="0.2">
      <c r="A8" t="s">
        <v>144</v>
      </c>
      <c r="B8">
        <f>B6-B7</f>
        <v>70519.17</v>
      </c>
    </row>
    <row r="9" spans="1:3" x14ac:dyDescent="0.2">
      <c r="A9" t="s">
        <v>145</v>
      </c>
      <c r="B9">
        <f>(N(Assumptions!B6) + (N(Stress_Input!B3)/10000)*N(Assumptions!B7)) * N(Base_Financials!B25)</f>
        <v>31071.494999999999</v>
      </c>
      <c r="C9" t="s">
        <v>146</v>
      </c>
    </row>
    <row r="10" spans="1:3" x14ac:dyDescent="0.2">
      <c r="A10" t="s">
        <v>147</v>
      </c>
      <c r="B10">
        <f>B8-B9</f>
        <v>39447.675000000003</v>
      </c>
    </row>
    <row r="11" spans="1:3" x14ac:dyDescent="0.2">
      <c r="A11" t="s">
        <v>148</v>
      </c>
      <c r="B11">
        <f>B10*N(Assumptions!B5)</f>
        <v>8717.9361750000007</v>
      </c>
    </row>
    <row r="12" spans="1:3" x14ac:dyDescent="0.2">
      <c r="A12" t="s">
        <v>149</v>
      </c>
      <c r="B12">
        <f>B10-B11</f>
        <v>30729.738825</v>
      </c>
    </row>
    <row r="13" spans="1:3" x14ac:dyDescent="0.2">
      <c r="A13" t="s">
        <v>150</v>
      </c>
      <c r="B13">
        <f>B8*(1-N(Assumptions!B5))</f>
        <v>54934.433429999997</v>
      </c>
    </row>
    <row r="14" spans="1:3" x14ac:dyDescent="0.2">
      <c r="A14" t="s">
        <v>151</v>
      </c>
      <c r="B14">
        <f>B2/365*(N(Assumptions!B10)+N(Stress_Input!B4))</f>
        <v>17512.372602739728</v>
      </c>
    </row>
    <row r="15" spans="1:3" x14ac:dyDescent="0.2">
      <c r="A15" t="s">
        <v>152</v>
      </c>
      <c r="B15">
        <f>B3/365*(N(Assumptions!B11)+N(Stress_Input!B5))</f>
        <v>0</v>
      </c>
    </row>
    <row r="16" spans="1:3" x14ac:dyDescent="0.2">
      <c r="A16" t="s">
        <v>153</v>
      </c>
      <c r="B16">
        <f>B3/365*(N(Assumptions!B12)+N(Stress_Input!B6))</f>
        <v>0</v>
      </c>
    </row>
    <row r="17" spans="1:3" x14ac:dyDescent="0.2">
      <c r="A17" t="s">
        <v>154</v>
      </c>
      <c r="B17">
        <f>B14+B15-B16</f>
        <v>17512.372602739728</v>
      </c>
    </row>
    <row r="18" spans="1:3" x14ac:dyDescent="0.2">
      <c r="A18" t="s">
        <v>155</v>
      </c>
      <c r="B18">
        <f>B17</f>
        <v>17512.372602739728</v>
      </c>
    </row>
    <row r="19" spans="1:3" x14ac:dyDescent="0.2">
      <c r="A19" t="s">
        <v>156</v>
      </c>
      <c r="B19">
        <f>N(Assumptions!B9)*B2</f>
        <v>2397.0059999999999</v>
      </c>
    </row>
    <row r="20" spans="1:3" x14ac:dyDescent="0.2">
      <c r="A20" t="s">
        <v>157</v>
      </c>
      <c r="B20">
        <f>B13+B7-B19-B18</f>
        <v>42963.054827260268</v>
      </c>
      <c r="C20" t="s">
        <v>113</v>
      </c>
    </row>
    <row r="21" spans="1:3" x14ac:dyDescent="0.2">
      <c r="A21" t="s">
        <v>158</v>
      </c>
      <c r="B21">
        <f>N(Base_Financials!B26)</f>
        <v>429273.54584121919</v>
      </c>
    </row>
    <row r="22" spans="1:3" x14ac:dyDescent="0.2">
      <c r="A22" t="s">
        <v>159</v>
      </c>
      <c r="B22">
        <f>IFERROR(IF(N(B6)&lt;=0,"", N(B21)/N(B6)), "")</f>
        <v>5.4714380577481858</v>
      </c>
    </row>
    <row r="23" spans="1:3" x14ac:dyDescent="0.2">
      <c r="A23" t="s">
        <v>160</v>
      </c>
      <c r="B23">
        <f>IFERROR(IF(N(B9)&lt;=0,"", N(B6)/N(B9)), "")</f>
        <v>2.5250529464385285</v>
      </c>
    </row>
    <row r="24" spans="1:3" x14ac:dyDescent="0.2">
      <c r="A24" t="s">
        <v>161</v>
      </c>
      <c r="B24">
        <f>IFERROR(IF(N(B9)&lt;=0,"", N(B8)/N(B9)), "")</f>
        <v>2.2695776305581692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26" customWidth="1"/>
    <col min="4" max="4" width="18" customWidth="1"/>
    <col min="5" max="5" width="12" customWidth="1"/>
    <col min="6" max="6" width="26" customWidth="1"/>
    <col min="7" max="7" width="18" customWidth="1"/>
    <col min="8" max="8" width="12" customWidth="1"/>
    <col min="9" max="9" width="32" customWidth="1"/>
  </cols>
  <sheetData>
    <row r="1" spans="1:9" x14ac:dyDescent="0.2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135</v>
      </c>
      <c r="H1" t="s">
        <v>168</v>
      </c>
      <c r="I1" t="s">
        <v>4</v>
      </c>
    </row>
    <row r="2" spans="1:9" x14ac:dyDescent="0.2">
      <c r="A2" t="s">
        <v>169</v>
      </c>
      <c r="B2">
        <v>3.5</v>
      </c>
      <c r="C2" t="s">
        <v>170</v>
      </c>
      <c r="D2">
        <f>Base_Financials!B26</f>
        <v>429273.54584121919</v>
      </c>
      <c r="E2" t="str">
        <f>IF(D2&lt;=B2,"PASS","FAIL")</f>
        <v>FAIL</v>
      </c>
      <c r="F2" t="s">
        <v>171</v>
      </c>
      <c r="G2">
        <f>Stress_Results!B21</f>
        <v>429273.54584121919</v>
      </c>
      <c r="H2" t="str">
        <f>IF(G2&lt;=B2,"PASS","FAIL")</f>
        <v>FAIL</v>
      </c>
      <c r="I2" t="s">
        <v>172</v>
      </c>
    </row>
    <row r="3" spans="1:9" x14ac:dyDescent="0.2">
      <c r="A3" t="s">
        <v>173</v>
      </c>
      <c r="B3">
        <v>3</v>
      </c>
      <c r="C3" t="s">
        <v>174</v>
      </c>
      <c r="D3">
        <f>Base_Financials!B27</f>
        <v>5.5733908236122822</v>
      </c>
      <c r="E3" t="str">
        <f>IF(D3&gt;=B3,"PASS","FAIL")</f>
        <v>PASS</v>
      </c>
      <c r="F3" t="s">
        <v>175</v>
      </c>
      <c r="G3">
        <f>Stress_Results!B22</f>
        <v>5.4714380577481858</v>
      </c>
      <c r="H3" t="str">
        <f>IF(G3&gt;=B3,"PASS","FAIL")</f>
        <v>PASS</v>
      </c>
      <c r="I3" t="s">
        <v>176</v>
      </c>
    </row>
    <row r="4" spans="1:9" x14ac:dyDescent="0.2">
      <c r="A4" t="s">
        <v>177</v>
      </c>
      <c r="B4">
        <v>10000</v>
      </c>
      <c r="C4" t="s">
        <v>178</v>
      </c>
      <c r="D4">
        <f>Base_Financials!B21 + (Assumptions!B13-Assumptions!B14)</f>
        <v>-17855.54584121918</v>
      </c>
      <c r="E4" t="str">
        <f>IF(D4&gt;=B4,"PASS","FAIL")</f>
        <v>FAIL</v>
      </c>
      <c r="F4" t="s">
        <v>179</v>
      </c>
      <c r="G4">
        <f>Base_Financials!B21 + (Assumptions!B13-Assumptions!B14)</f>
        <v>-17855.54584121918</v>
      </c>
      <c r="H4" t="str">
        <f>IF(G4&gt;=B4,"PASS","FAIL")</f>
        <v>FAIL</v>
      </c>
      <c r="I4" t="s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baseColWidth="10" defaultColWidth="8.83203125" defaultRowHeight="15" x14ac:dyDescent="0.2"/>
  <cols>
    <col min="1" max="1" width="28" customWidth="1"/>
    <col min="2" max="2" width="100" customWidth="1"/>
  </cols>
  <sheetData>
    <row r="1" spans="1:2" x14ac:dyDescent="0.2">
      <c r="A1" t="s">
        <v>181</v>
      </c>
      <c r="B1" t="s">
        <v>182</v>
      </c>
    </row>
    <row r="2" spans="1:2" x14ac:dyDescent="0.2">
      <c r="A2" t="s">
        <v>183</v>
      </c>
      <c r="B2" t="s">
        <v>184</v>
      </c>
    </row>
    <row r="3" spans="1:2" x14ac:dyDescent="0.2">
      <c r="A3" t="s">
        <v>185</v>
      </c>
      <c r="B3" t="s">
        <v>186</v>
      </c>
    </row>
    <row r="4" spans="1:2" x14ac:dyDescent="0.2">
      <c r="A4" t="s">
        <v>187</v>
      </c>
      <c r="B4" t="s">
        <v>188</v>
      </c>
    </row>
    <row r="5" spans="1:2" x14ac:dyDescent="0.2">
      <c r="A5" t="s">
        <v>189</v>
      </c>
      <c r="B5" t="s">
        <v>190</v>
      </c>
    </row>
    <row r="6" spans="1:2" x14ac:dyDescent="0.2">
      <c r="A6" t="s">
        <v>191</v>
      </c>
      <c r="B6" t="s">
        <v>192</v>
      </c>
    </row>
    <row r="7" spans="1:2" x14ac:dyDescent="0.2">
      <c r="A7" t="s">
        <v>193</v>
      </c>
      <c r="B7" t="s">
        <v>194</v>
      </c>
    </row>
    <row r="8" spans="1:2" x14ac:dyDescent="0.2">
      <c r="A8" t="s">
        <v>195</v>
      </c>
      <c r="B8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Guide_&amp;_Sources</vt:lpstr>
      <vt:lpstr>Assumptions</vt:lpstr>
      <vt:lpstr>Base_Financials</vt:lpstr>
      <vt:lpstr>Stress_Input</vt:lpstr>
      <vt:lpstr>Stress_Results</vt:lpstr>
      <vt:lpstr>Covenants</vt:lpstr>
      <vt:lpstr>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Markov</cp:lastModifiedBy>
  <dcterms:created xsi:type="dcterms:W3CDTF">2025-10-10T16:42:26Z</dcterms:created>
  <dcterms:modified xsi:type="dcterms:W3CDTF">2025-10-10T21:55:14Z</dcterms:modified>
</cp:coreProperties>
</file>