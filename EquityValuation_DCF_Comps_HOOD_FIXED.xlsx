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Forecast" sheetId="2" state="visible" r:id="rId2"/>
    <sheet xmlns:r="http://schemas.openxmlformats.org/officeDocument/2006/relationships" name="DCF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Comps" sheetId="5" state="visible" r:id="rId5"/>
    <sheet xmlns:r="http://schemas.openxmlformats.org/officeDocument/2006/relationships" name="Valuation_Summary" sheetId="6" state="visible" r:id="rId6"/>
    <sheet xmlns:r="http://schemas.openxmlformats.org/officeDocument/2006/relationships" name="Initiation_OnePager" sheetId="7" state="visible" r:id="rId7"/>
    <sheet xmlns:r="http://schemas.openxmlformats.org/officeDocument/2006/relationships" name="Guid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0.000"/>
    <numFmt numFmtId="167" formatCode="&quot;$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horizontal="left"/>
    </xf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60" customWidth="1" min="3" max="3"/>
  </cols>
  <sheetData>
    <row r="1">
      <c r="A1" t="inlineStr">
        <is>
          <t>Key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Company</t>
        </is>
      </c>
      <c r="B2" t="inlineStr">
        <is>
          <t>Robinhood Markets, Inc. (HOOD)</t>
        </is>
      </c>
      <c r="C2" t="inlineStr">
        <is>
          <t>Change if using another company</t>
        </is>
      </c>
    </row>
    <row r="3">
      <c r="A3" t="inlineStr">
        <is>
          <t>Currency</t>
        </is>
      </c>
      <c r="B3" t="inlineStr">
        <is>
          <t>USD ($M)</t>
        </is>
      </c>
      <c r="C3" t="inlineStr">
        <is>
          <t>Model in millions</t>
        </is>
      </c>
    </row>
    <row r="4">
      <c r="A4" t="inlineStr">
        <is>
          <t>Fiscal Start Year</t>
        </is>
      </c>
      <c r="B4" t="n">
        <v>905</v>
      </c>
      <c r="C4" t="inlineStr">
        <is>
          <t>Forecast FY2025–FY2029</t>
        </is>
      </c>
    </row>
    <row r="5">
      <c r="A5" t="inlineStr">
        <is>
          <t>Diluted Shares (mm)</t>
        </is>
      </c>
      <c r="B5" t="n">
        <v>-4300</v>
      </c>
      <c r="C5" t="inlineStr">
        <is>
          <t>Enter diluted share count</t>
        </is>
      </c>
    </row>
    <row r="6">
      <c r="A6" t="inlineStr">
        <is>
          <t>Net Debt ($M)</t>
        </is>
      </c>
      <c r="B6" t="n">
        <v>0.25</v>
      </c>
      <c r="C6" t="inlineStr">
        <is>
          <t>Debt - Cash (negative = net cash)</t>
        </is>
      </c>
    </row>
    <row r="7">
      <c r="A7" t="inlineStr">
        <is>
          <t>Tax Rate</t>
        </is>
      </c>
      <c r="B7" t="n">
        <v>0.12</v>
      </c>
      <c r="C7" t="inlineStr">
        <is>
          <t>Long-run effective tax rate</t>
        </is>
      </c>
    </row>
    <row r="8">
      <c r="A8" t="inlineStr">
        <is>
          <t>WACC</t>
        </is>
      </c>
      <c r="B8" t="n">
        <v>0.03</v>
      </c>
      <c r="C8" t="inlineStr">
        <is>
          <t>Weighted Average Cost of Capital</t>
        </is>
      </c>
    </row>
    <row r="9">
      <c r="A9" t="inlineStr">
        <is>
          <t>Terminal Growth (g)</t>
        </is>
      </c>
      <c r="B9" t="n">
        <v>2951</v>
      </c>
      <c r="C9" t="inlineStr">
        <is>
          <t>Perpetual growth after Year 5</t>
        </is>
      </c>
    </row>
    <row r="10">
      <c r="A10" t="inlineStr">
        <is>
          <t>Starting Revenue ($M)</t>
        </is>
      </c>
      <c r="B10" t="n">
        <v>0.18</v>
      </c>
      <c r="C10" t="inlineStr">
        <is>
          <t>Last FY or TTM revenue to roll forward</t>
        </is>
      </c>
    </row>
    <row r="11">
      <c r="A11" t="inlineStr">
        <is>
          <t>Revenue Growth Y1</t>
        </is>
      </c>
      <c r="B11" t="n">
        <v>0.12</v>
      </c>
      <c r="C11" t="inlineStr">
        <is>
          <t>Year 1 growth</t>
        </is>
      </c>
    </row>
    <row r="12">
      <c r="A12" t="inlineStr">
        <is>
          <t>Revenue Growth Y2</t>
        </is>
      </c>
      <c r="B12" t="n">
        <v>0.1</v>
      </c>
      <c r="C12" t="inlineStr">
        <is>
          <t>Year 2 growth</t>
        </is>
      </c>
    </row>
    <row r="13">
      <c r="A13" t="inlineStr">
        <is>
          <t>Revenue Growth Y3</t>
        </is>
      </c>
      <c r="B13" t="n">
        <v>0.08</v>
      </c>
      <c r="C13" t="inlineStr">
        <is>
          <t>Year 3 growth</t>
        </is>
      </c>
    </row>
    <row r="14">
      <c r="A14" t="inlineStr">
        <is>
          <t>Revenue Growth Y4</t>
        </is>
      </c>
      <c r="B14" t="n">
        <v>0.06</v>
      </c>
      <c r="C14" t="inlineStr">
        <is>
          <t>Year 4 growth</t>
        </is>
      </c>
    </row>
    <row r="15">
      <c r="A15" t="inlineStr">
        <is>
          <t>Revenue Growth Y5</t>
        </is>
      </c>
      <c r="B15" t="n">
        <v>0.8</v>
      </c>
      <c r="C15" t="inlineStr">
        <is>
          <t>Year 5 growth</t>
        </is>
      </c>
    </row>
    <row r="16">
      <c r="A16" t="inlineStr">
        <is>
          <t>Gross Margin %</t>
        </is>
      </c>
      <c r="B16" t="n">
        <v>0.22</v>
      </c>
      <c r="C16" t="inlineStr">
        <is>
          <t>Long-run gross margin</t>
        </is>
      </c>
    </row>
    <row r="17">
      <c r="A17" t="inlineStr">
        <is>
          <t>S&amp;M % of Rev</t>
        </is>
      </c>
      <c r="B17" t="n">
        <v>0.12</v>
      </c>
    </row>
    <row r="18">
      <c r="A18" t="inlineStr">
        <is>
          <t>R&amp;D % of Rev</t>
        </is>
      </c>
      <c r="B18" t="n">
        <v>0.09</v>
      </c>
    </row>
    <row r="19">
      <c r="A19" t="inlineStr">
        <is>
          <t>G&amp;A % of Rev</t>
        </is>
      </c>
      <c r="B19" t="n">
        <v>0.03</v>
      </c>
    </row>
    <row r="20">
      <c r="A20" t="inlineStr">
        <is>
          <t>D&amp;A % of Rev</t>
        </is>
      </c>
      <c r="B20" t="n">
        <v>0.04</v>
      </c>
    </row>
    <row r="21">
      <c r="A21" t="inlineStr">
        <is>
          <t>Capex % of Rev</t>
        </is>
      </c>
      <c r="B21" t="n">
        <v>0.02</v>
      </c>
    </row>
    <row r="22">
      <c r="A22" t="inlineStr">
        <is>
          <t>NWC % of Rev</t>
        </is>
      </c>
      <c r="B22" t="n">
        <v>0.03</v>
      </c>
      <c r="C22" t="inlineStr">
        <is>
          <t>Working capital = % of revenue; ΔNWC drives cash outflow on 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50" customWidth="1" min="7" max="7"/>
  </cols>
  <sheetData>
    <row r="1">
      <c r="A1" t="inlineStr">
        <is>
          <t>Metric</t>
        </is>
      </c>
      <c r="B1" t="inlineStr">
        <is>
          <t>Y1</t>
        </is>
      </c>
      <c r="C1" t="inlineStr">
        <is>
          <t>Y2</t>
        </is>
      </c>
      <c r="D1" t="inlineStr">
        <is>
          <t>Y3</t>
        </is>
      </c>
      <c r="E1" t="inlineStr">
        <is>
          <t>Y4</t>
        </is>
      </c>
      <c r="F1" t="inlineStr">
        <is>
          <t>Y5</t>
        </is>
      </c>
      <c r="G1" t="inlineStr">
        <is>
          <t>Notes</t>
        </is>
      </c>
    </row>
    <row r="2">
      <c r="A2" t="inlineStr">
        <is>
          <t>Revenue</t>
        </is>
      </c>
      <c r="B2" s="1">
        <f>Inputs!B9*(1+Inputs!B10)</f>
        <v/>
      </c>
      <c r="C2" s="1">
        <f>B2*(1+Inputs!B11)</f>
        <v/>
      </c>
      <c r="D2" s="1">
        <f>C2*(1+Inputs!B12)</f>
        <v/>
      </c>
      <c r="E2" s="1">
        <f>D2*(1+Inputs!B13)</f>
        <v/>
      </c>
      <c r="F2" s="1">
        <f>E2*(1+Inputs!B14)</f>
        <v/>
      </c>
      <c r="G2" t="inlineStr">
        <is>
          <t>Revenues and costs in USD millions; FCFF used for DCF</t>
        </is>
      </c>
    </row>
    <row r="3">
      <c r="A3" t="inlineStr">
        <is>
          <t>Revenue Growth %</t>
        </is>
      </c>
      <c r="B3" s="2">
        <f>IFERROR(B2/IF(A2&gt;0,A2,NA())-1,"")</f>
        <v/>
      </c>
      <c r="C3" s="2">
        <f>IFERROR(C2/IF(B2&gt;0,B2,NA())-1,"")</f>
        <v/>
      </c>
      <c r="D3" s="2">
        <f>IFERROR(D2/IF(C2&gt;0,C2,NA())-1,"")</f>
        <v/>
      </c>
      <c r="E3" s="2">
        <f>IFERROR(E2/IF(D2&gt;0,D2,NA())-1,"")</f>
        <v/>
      </c>
      <c r="F3" s="2">
        <f>IFERROR(F2/IF(E2&gt;0,E2,NA())-1,"")</f>
        <v/>
      </c>
    </row>
    <row r="4">
      <c r="A4" t="inlineStr">
        <is>
          <t>COGS ($)</t>
        </is>
      </c>
      <c r="B4" s="1">
        <f>(1-Inputs!B15)*B2</f>
        <v/>
      </c>
      <c r="C4" s="1">
        <f>(1-Inputs!B15)*C2</f>
        <v/>
      </c>
      <c r="D4" s="1">
        <f>(1-Inputs!B15)*D2</f>
        <v/>
      </c>
      <c r="E4" s="1">
        <f>(1-Inputs!B15)*E2</f>
        <v/>
      </c>
      <c r="F4" s="1">
        <f>(1-Inputs!B15)*F2</f>
        <v/>
      </c>
    </row>
    <row r="5">
      <c r="A5" t="inlineStr">
        <is>
          <t>Gross Profit ($)</t>
        </is>
      </c>
      <c r="B5" s="1">
        <f>B2-B4</f>
        <v/>
      </c>
      <c r="C5" s="1">
        <f>C2-C4</f>
        <v/>
      </c>
      <c r="D5" s="1">
        <f>D2-D4</f>
        <v/>
      </c>
      <c r="E5" s="1">
        <f>E2-E4</f>
        <v/>
      </c>
      <c r="F5" s="1">
        <f>F2-F4</f>
        <v/>
      </c>
    </row>
    <row r="6">
      <c r="A6" t="inlineStr">
        <is>
          <t>S&amp;M ($)</t>
        </is>
      </c>
      <c r="B6" s="1">
        <f>Inputs!B16*B2</f>
        <v/>
      </c>
      <c r="C6" s="1">
        <f>Inputs!B16*C2</f>
        <v/>
      </c>
      <c r="D6" s="1">
        <f>Inputs!B16*D2</f>
        <v/>
      </c>
      <c r="E6" s="1">
        <f>Inputs!B16*E2</f>
        <v/>
      </c>
      <c r="F6" s="1">
        <f>Inputs!B16*F2</f>
        <v/>
      </c>
    </row>
    <row r="7">
      <c r="A7" t="inlineStr">
        <is>
          <t>R&amp;D ($)</t>
        </is>
      </c>
      <c r="B7" s="1">
        <f>Inputs!B17*B2</f>
        <v/>
      </c>
      <c r="C7" s="1">
        <f>Inputs!B17*C2</f>
        <v/>
      </c>
      <c r="D7" s="1">
        <f>Inputs!B17*D2</f>
        <v/>
      </c>
      <c r="E7" s="1">
        <f>Inputs!B17*E2</f>
        <v/>
      </c>
      <c r="F7" s="1">
        <f>Inputs!B17*F2</f>
        <v/>
      </c>
    </row>
    <row r="8">
      <c r="A8" t="inlineStr">
        <is>
          <t>G&amp;A ($)</t>
        </is>
      </c>
      <c r="B8" s="1">
        <f>Inputs!B18*B2</f>
        <v/>
      </c>
      <c r="C8" s="1">
        <f>Inputs!B18*C2</f>
        <v/>
      </c>
      <c r="D8" s="1">
        <f>Inputs!B18*D2</f>
        <v/>
      </c>
      <c r="E8" s="1">
        <f>Inputs!B18*E2</f>
        <v/>
      </c>
      <c r="F8" s="1">
        <f>Inputs!B18*F2</f>
        <v/>
      </c>
    </row>
    <row r="9">
      <c r="A9" t="inlineStr">
        <is>
          <t>EBITDA ($)</t>
        </is>
      </c>
      <c r="B9" s="1">
        <f>B5-B6-B7-B8</f>
        <v/>
      </c>
      <c r="C9" s="1">
        <f>C5-C6-C7-C8</f>
        <v/>
      </c>
      <c r="D9" s="1">
        <f>D5-D6-D7-D8</f>
        <v/>
      </c>
      <c r="E9" s="1">
        <f>E5-E6-E7-E8</f>
        <v/>
      </c>
      <c r="F9" s="1">
        <f>F5-F6-F7-F8</f>
        <v/>
      </c>
    </row>
    <row r="10">
      <c r="A10" t="inlineStr">
        <is>
          <t>D&amp;A ($)</t>
        </is>
      </c>
      <c r="B10" s="1">
        <f>Inputs!B19*B2</f>
        <v/>
      </c>
      <c r="C10" s="1">
        <f>Inputs!B19*C2</f>
        <v/>
      </c>
      <c r="D10" s="1">
        <f>Inputs!B19*D2</f>
        <v/>
      </c>
      <c r="E10" s="1">
        <f>Inputs!B19*E2</f>
        <v/>
      </c>
      <c r="F10" s="1">
        <f>Inputs!B19*F2</f>
        <v/>
      </c>
    </row>
    <row r="11">
      <c r="A11" t="inlineStr">
        <is>
          <t>EBIT ($)</t>
        </is>
      </c>
      <c r="B11" s="1">
        <f>B9-B10</f>
        <v/>
      </c>
      <c r="C11" s="1">
        <f>C9-C10</f>
        <v/>
      </c>
      <c r="D11" s="1">
        <f>D9-D10</f>
        <v/>
      </c>
      <c r="E11" s="1">
        <f>E9-E10</f>
        <v/>
      </c>
      <c r="F11" s="1">
        <f>F9-F10</f>
        <v/>
      </c>
    </row>
    <row r="12">
      <c r="A12" t="inlineStr">
        <is>
          <t>EBIT Margin %</t>
        </is>
      </c>
      <c r="B12" s="2">
        <f>IFERROR(B11/B2,"")</f>
        <v/>
      </c>
      <c r="C12" s="2">
        <f>IFERROR(C11/C2,"")</f>
        <v/>
      </c>
      <c r="D12" s="2">
        <f>IFERROR(D11/D2,"")</f>
        <v/>
      </c>
      <c r="E12" s="2">
        <f>IFERROR(E11/E2,"")</f>
        <v/>
      </c>
      <c r="F12" s="2">
        <f>IFERROR(F11/F2,"")</f>
        <v/>
      </c>
    </row>
    <row r="13">
      <c r="A13" t="inlineStr">
        <is>
          <t>Capex ($)</t>
        </is>
      </c>
      <c r="B13" s="1">
        <f>Inputs!B20*B2</f>
        <v/>
      </c>
      <c r="C13" s="1">
        <f>Inputs!B20*C2</f>
        <v/>
      </c>
      <c r="D13" s="1">
        <f>Inputs!B20*D2</f>
        <v/>
      </c>
      <c r="E13" s="1">
        <f>Inputs!B20*E2</f>
        <v/>
      </c>
      <c r="F13" s="1">
        <f>Inputs!B20*F2</f>
        <v/>
      </c>
    </row>
    <row r="14">
      <c r="A14" t="inlineStr">
        <is>
          <t>NWC ($)</t>
        </is>
      </c>
      <c r="B14" s="1">
        <f>Inputs!B21*B2</f>
        <v/>
      </c>
      <c r="C14" s="1">
        <f>Inputs!B21*C2</f>
        <v/>
      </c>
      <c r="D14" s="1">
        <f>Inputs!B21*D2</f>
        <v/>
      </c>
      <c r="E14" s="1">
        <f>Inputs!B21*E2</f>
        <v/>
      </c>
      <c r="F14" s="1">
        <f>Inputs!B21*F2</f>
        <v/>
      </c>
    </row>
    <row r="15">
      <c r="A15" t="inlineStr">
        <is>
          <t>ΔNWC ($)</t>
        </is>
      </c>
      <c r="B15" s="1">
        <f>B14-Inputs!B21*Inputs!B9</f>
        <v/>
      </c>
      <c r="C15" s="1">
        <f>C14-B14</f>
        <v/>
      </c>
      <c r="D15" s="1">
        <f>D14-C14</f>
        <v/>
      </c>
      <c r="E15" s="1">
        <f>E14-D14</f>
        <v/>
      </c>
      <c r="F15" s="1">
        <f>F14-E14</f>
        <v/>
      </c>
    </row>
    <row r="16">
      <c r="A16" t="inlineStr">
        <is>
          <t>FCFF ($)</t>
        </is>
      </c>
      <c r="B16" s="1">
        <f>B11*(1-Inputs!B6)+B10-B13-B15</f>
        <v/>
      </c>
      <c r="C16" s="1">
        <f>C11*(1-Inputs!B6)+C10-C13-C15</f>
        <v/>
      </c>
      <c r="D16" s="1">
        <f>D11*(1-Inputs!B6)+D10-D13-D15</f>
        <v/>
      </c>
      <c r="E16" s="1">
        <f>E11*(1-Inputs!B6)+E10-E13-E15</f>
        <v/>
      </c>
      <c r="F16" s="1">
        <f>F11*(1-Inputs!B6)+F10-F13-F15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0" customWidth="1" min="3" max="3"/>
  </cols>
  <sheetData>
    <row r="1">
      <c r="A1" t="inlineStr">
        <is>
          <t>Item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WACC</t>
        </is>
      </c>
      <c r="B2" s="2">
        <f>Inputs!B7</f>
        <v/>
      </c>
    </row>
    <row r="3">
      <c r="A3" t="inlineStr">
        <is>
          <t>Terminal growth (g)</t>
        </is>
      </c>
      <c r="B3" s="2">
        <f>Inputs!B8</f>
        <v/>
      </c>
    </row>
    <row r="4">
      <c r="A4" t="inlineStr">
        <is>
          <t>Net Debt (Debt - Cash)</t>
        </is>
      </c>
      <c r="B4">
        <f>Inputs!B5</f>
        <v/>
      </c>
      <c r="C4" t="inlineStr">
        <is>
          <t>Negative = net cash (adds to equity)</t>
        </is>
      </c>
    </row>
    <row r="5">
      <c r="A5" t="inlineStr">
        <is>
          <t>Diluted Shares (mm)</t>
        </is>
      </c>
      <c r="B5" s="1">
        <f>Inputs!B4</f>
        <v/>
      </c>
    </row>
    <row r="6">
      <c r="A6" t="inlineStr">
        <is>
          <t>FCFF Y1</t>
        </is>
      </c>
      <c r="B6" s="1">
        <f>Forecast!B16</f>
        <v/>
      </c>
    </row>
    <row r="7">
      <c r="A7" t="inlineStr">
        <is>
          <t>FCFF Y2</t>
        </is>
      </c>
      <c r="B7" s="1">
        <f>Forecast!C16</f>
        <v/>
      </c>
    </row>
    <row r="8">
      <c r="A8" t="inlineStr">
        <is>
          <t>FCFF Y3</t>
        </is>
      </c>
      <c r="B8" s="1">
        <f>Forecast!D16</f>
        <v/>
      </c>
    </row>
    <row r="9">
      <c r="A9" t="inlineStr">
        <is>
          <t>FCFF Y4</t>
        </is>
      </c>
      <c r="B9" s="1">
        <f>Forecast!E16</f>
        <v/>
      </c>
    </row>
    <row r="10">
      <c r="A10" t="inlineStr">
        <is>
          <t>FCFF Y5</t>
        </is>
      </c>
      <c r="B10" s="7">
        <f>Forecast!F16</f>
        <v/>
      </c>
    </row>
    <row r="11">
      <c r="A11" t="inlineStr">
        <is>
          <t>Discount factor Y1</t>
        </is>
      </c>
      <c r="B11" s="7">
        <f>1/(1+B2)^1</f>
        <v/>
      </c>
    </row>
    <row r="12">
      <c r="A12" t="inlineStr">
        <is>
          <t>DF Y2</t>
        </is>
      </c>
      <c r="B12" s="7">
        <f>1/(1+B2)^2</f>
        <v/>
      </c>
    </row>
    <row r="13">
      <c r="A13" t="inlineStr">
        <is>
          <t>DF Y3</t>
        </is>
      </c>
      <c r="B13" s="7">
        <f>1/(1+B2)^3</f>
        <v/>
      </c>
    </row>
    <row r="14">
      <c r="A14" t="inlineStr">
        <is>
          <t>DF Y4</t>
        </is>
      </c>
      <c r="B14" s="7">
        <f>1/(1+B2)^4</f>
        <v/>
      </c>
    </row>
    <row r="15">
      <c r="A15" t="inlineStr">
        <is>
          <t>DF Y5</t>
        </is>
      </c>
      <c r="B15" s="1">
        <f>1/(1+B2)^5</f>
        <v/>
      </c>
    </row>
    <row r="16">
      <c r="A16" t="inlineStr">
        <is>
          <t>PV Y1</t>
        </is>
      </c>
      <c r="B16" s="1">
        <f>B5*B10</f>
        <v/>
      </c>
    </row>
    <row r="17">
      <c r="A17" t="inlineStr">
        <is>
          <t>PV Y2</t>
        </is>
      </c>
      <c r="B17" s="1">
        <f>B6*B11</f>
        <v/>
      </c>
    </row>
    <row r="18">
      <c r="A18" t="inlineStr">
        <is>
          <t>PV Y3</t>
        </is>
      </c>
      <c r="B18" s="1">
        <f>B7*B12</f>
        <v/>
      </c>
    </row>
    <row r="19">
      <c r="A19" t="inlineStr">
        <is>
          <t>PV Y4</t>
        </is>
      </c>
      <c r="B19" s="1">
        <f>B8*B13</f>
        <v/>
      </c>
    </row>
    <row r="20">
      <c r="A20" t="inlineStr">
        <is>
          <t>PV Y5</t>
        </is>
      </c>
      <c r="B20" s="1">
        <f>B9*B14</f>
        <v/>
      </c>
    </row>
    <row r="21">
      <c r="A21" t="inlineStr">
        <is>
          <t>Terminal Value (at Y5)</t>
        </is>
      </c>
      <c r="B21" s="1">
        <f>B9*(1+B3)/(B2-B3)</f>
        <v/>
      </c>
      <c r="C21" t="inlineStr">
        <is>
          <t>Gordon growth, using FCFF5 next year method</t>
        </is>
      </c>
    </row>
    <row r="22">
      <c r="A22" t="inlineStr">
        <is>
          <t>PV of Terminal</t>
        </is>
      </c>
      <c r="B22" s="1">
        <f>B20*B14</f>
        <v/>
      </c>
    </row>
    <row r="23">
      <c r="A23" t="inlineStr">
        <is>
          <t>Enterprise Value (EV)</t>
        </is>
      </c>
      <c r="B23" s="8">
        <f>SUM(B15:B19)+B21</f>
        <v/>
      </c>
      <c r="C23" t="inlineStr">
        <is>
          <t>PV of explicit + PV of terminal</t>
        </is>
      </c>
    </row>
    <row r="24">
      <c r="A24" t="inlineStr">
        <is>
          <t>Equity Value ($M)</t>
        </is>
      </c>
      <c r="B24">
        <f>B22 - B4</f>
        <v/>
      </c>
      <c r="C24" t="inlineStr">
        <is>
          <t>EV - Net Debt</t>
        </is>
      </c>
    </row>
    <row r="25">
      <c r="A25" t="inlineStr">
        <is>
          <t>Equity Value / Share ($)</t>
        </is>
      </c>
      <c r="B25">
        <f>B23/B5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WACC vs g (Equity value per share)</t>
        </is>
      </c>
    </row>
    <row r="2">
      <c r="A2" t="inlineStr">
        <is>
          <t>g ↓ / WACC →</t>
        </is>
      </c>
      <c r="B2" s="2" t="n">
        <v>0.08</v>
      </c>
      <c r="C2" s="2" t="n">
        <v>0.09</v>
      </c>
      <c r="D2" s="2" t="n">
        <v>0.1</v>
      </c>
      <c r="E2" s="2" t="n">
        <v>0.11</v>
      </c>
      <c r="F2" s="2" t="n">
        <v>0.12</v>
      </c>
      <c r="G2" s="2" t="n">
        <v>0.13</v>
      </c>
      <c r="H2" s="2" t="n">
        <v>0.14</v>
      </c>
    </row>
    <row r="3">
      <c r="A3" s="2" t="n">
        <v>0.01</v>
      </c>
      <c r="B3" s="8">
        <f>(Forecast!B16/(1+B2)^1 + Forecast!C16/(1+B2)^2 + Forecast!D16/(1+B2)^3 + Forecast!E16/(1+B2)^4 + Forecast!F16/(1+B2)^5 + (Forecast!F16*(1+A3)/(B2-A3))/(1+B2)^5  - Inputs!B5) / Inputs!B4</f>
        <v/>
      </c>
      <c r="C3" s="8">
        <f>(Forecast!B16/(1+C2)^1 + Forecast!C16/(1+C2)^2 + Forecast!D16/(1+C2)^3 + Forecast!E16/(1+C2)^4 + Forecast!F16/(1+C2)^5 + (Forecast!F16*(1+A3)/(C2-A3))/(1+C2)^5  - Inputs!B5) / Inputs!B4</f>
        <v/>
      </c>
      <c r="D3" s="8">
        <f>(Forecast!B16/(1+D2)^1 + Forecast!C16/(1+D2)^2 + Forecast!D16/(1+D2)^3 + Forecast!E16/(1+D2)^4 + Forecast!F16/(1+D2)^5 + (Forecast!F16*(1+A3)/(D2-A3))/(1+D2)^5  - Inputs!B5) / Inputs!B4</f>
        <v/>
      </c>
      <c r="E3" s="8">
        <f>(Forecast!B16/(1+E2)^1 + Forecast!C16/(1+E2)^2 + Forecast!D16/(1+E2)^3 + Forecast!E16/(1+E2)^4 + Forecast!F16/(1+E2)^5 + (Forecast!F16*(1+A3)/(E2-A3))/(1+E2)^5  - Inputs!B5) / Inputs!B4</f>
        <v/>
      </c>
      <c r="F3" s="8">
        <f>(Forecast!B16/(1+F2)^1 + Forecast!C16/(1+F2)^2 + Forecast!D16/(1+F2)^3 + Forecast!E16/(1+F2)^4 + Forecast!F16/(1+F2)^5 + (Forecast!F16*(1+A3)/(F2-A3))/(1+F2)^5  - Inputs!B5) / Inputs!B4</f>
        <v/>
      </c>
      <c r="G3" s="8">
        <f>(Forecast!B16/(1+G2)^1 + Forecast!C16/(1+G2)^2 + Forecast!D16/(1+G2)^3 + Forecast!E16/(1+G2)^4 + Forecast!F16/(1+G2)^5 + (Forecast!F16*(1+A3)/(G2-A3))/(1+G2)^5  - Inputs!B5) / Inputs!B4</f>
        <v/>
      </c>
      <c r="H3" s="8">
        <f>(Forecast!B16/(1+H2)^1 + Forecast!C16/(1+H2)^2 + Forecast!D16/(1+H2)^3 + Forecast!E16/(1+H2)^4 + Forecast!F16/(1+H2)^5 + (Forecast!F16*(1+A3)/(H2-A3))/(1+H2)^5  - Inputs!B5) / Inputs!B4</f>
        <v/>
      </c>
    </row>
    <row r="4">
      <c r="A4" s="2" t="n">
        <v>0.02</v>
      </c>
      <c r="B4" s="8">
        <f>(Forecast!B16/(1+B2)^1 + Forecast!C16/(1+B2)^2 + Forecast!D16/(1+B2)^3 + Forecast!E16/(1+B2)^4 + Forecast!F16/(1+B2)^5 + (Forecast!F16*(1+A4)/(B2-A4))/(1+B2)^5  - Inputs!B5) / Inputs!B4</f>
        <v/>
      </c>
      <c r="C4" s="8">
        <f>(Forecast!B16/(1+C2)^1 + Forecast!C16/(1+C2)^2 + Forecast!D16/(1+C2)^3 + Forecast!E16/(1+C2)^4 + Forecast!F16/(1+C2)^5 + (Forecast!F16*(1+A4)/(C2-A4))/(1+C2)^5  - Inputs!B5) / Inputs!B4</f>
        <v/>
      </c>
      <c r="D4" s="8">
        <f>(Forecast!B16/(1+D2)^1 + Forecast!C16/(1+D2)^2 + Forecast!D16/(1+D2)^3 + Forecast!E16/(1+D2)^4 + Forecast!F16/(1+D2)^5 + (Forecast!F16*(1+A4)/(D2-A4))/(1+D2)^5  - Inputs!B5) / Inputs!B4</f>
        <v/>
      </c>
      <c r="E4" s="8">
        <f>(Forecast!B16/(1+E2)^1 + Forecast!C16/(1+E2)^2 + Forecast!D16/(1+E2)^3 + Forecast!E16/(1+E2)^4 + Forecast!F16/(1+E2)^5 + (Forecast!F16*(1+A4)/(E2-A4))/(1+E2)^5  - Inputs!B5) / Inputs!B4</f>
        <v/>
      </c>
      <c r="F4" s="8">
        <f>(Forecast!B16/(1+F2)^1 + Forecast!C16/(1+F2)^2 + Forecast!D16/(1+F2)^3 + Forecast!E16/(1+F2)^4 + Forecast!F16/(1+F2)^5 + (Forecast!F16*(1+A4)/(F2-A4))/(1+F2)^5  - Inputs!B5) / Inputs!B4</f>
        <v/>
      </c>
      <c r="G4" s="8">
        <f>(Forecast!B16/(1+G2)^1 + Forecast!C16/(1+G2)^2 + Forecast!D16/(1+G2)^3 + Forecast!E16/(1+G2)^4 + Forecast!F16/(1+G2)^5 + (Forecast!F16*(1+A4)/(G2-A4))/(1+G2)^5  - Inputs!B5) / Inputs!B4</f>
        <v/>
      </c>
      <c r="H4" s="8">
        <f>(Forecast!B16/(1+H2)^1 + Forecast!C16/(1+H2)^2 + Forecast!D16/(1+H2)^3 + Forecast!E16/(1+H2)^4 + Forecast!F16/(1+H2)^5 + (Forecast!F16*(1+A4)/(H2-A4))/(1+H2)^5  - Inputs!B5) / Inputs!B4</f>
        <v/>
      </c>
    </row>
    <row r="5">
      <c r="A5" s="2" t="n">
        <v>0.03</v>
      </c>
      <c r="B5" s="8">
        <f>(Forecast!B16/(1+B2)^1 + Forecast!C16/(1+B2)^2 + Forecast!D16/(1+B2)^3 + Forecast!E16/(1+B2)^4 + Forecast!F16/(1+B2)^5 + (Forecast!F16*(1+A5)/(B2-A5))/(1+B2)^5  - Inputs!B5) / Inputs!B4</f>
        <v/>
      </c>
      <c r="C5" s="8">
        <f>(Forecast!B16/(1+C2)^1 + Forecast!C16/(1+C2)^2 + Forecast!D16/(1+C2)^3 + Forecast!E16/(1+C2)^4 + Forecast!F16/(1+C2)^5 + (Forecast!F16*(1+A5)/(C2-A5))/(1+C2)^5  - Inputs!B5) / Inputs!B4</f>
        <v/>
      </c>
      <c r="D5" s="8">
        <f>(Forecast!B16/(1+D2)^1 + Forecast!C16/(1+D2)^2 + Forecast!D16/(1+D2)^3 + Forecast!E16/(1+D2)^4 + Forecast!F16/(1+D2)^5 + (Forecast!F16*(1+A5)/(D2-A5))/(1+D2)^5  - Inputs!B5) / Inputs!B4</f>
        <v/>
      </c>
      <c r="E5" s="8">
        <f>(Forecast!B16/(1+E2)^1 + Forecast!C16/(1+E2)^2 + Forecast!D16/(1+E2)^3 + Forecast!E16/(1+E2)^4 + Forecast!F16/(1+E2)^5 + (Forecast!F16*(1+A5)/(E2-A5))/(1+E2)^5  - Inputs!B5) / Inputs!B4</f>
        <v/>
      </c>
      <c r="F5" s="8">
        <f>(Forecast!B16/(1+F2)^1 + Forecast!C16/(1+F2)^2 + Forecast!D16/(1+F2)^3 + Forecast!E16/(1+F2)^4 + Forecast!F16/(1+F2)^5 + (Forecast!F16*(1+A5)/(F2-A5))/(1+F2)^5  - Inputs!B5) / Inputs!B4</f>
        <v/>
      </c>
      <c r="G5" s="8">
        <f>(Forecast!B16/(1+G2)^1 + Forecast!C16/(1+G2)^2 + Forecast!D16/(1+G2)^3 + Forecast!E16/(1+G2)^4 + Forecast!F16/(1+G2)^5 + (Forecast!F16*(1+A5)/(G2-A5))/(1+G2)^5  - Inputs!B5) / Inputs!B4</f>
        <v/>
      </c>
      <c r="H5" s="8">
        <f>(Forecast!B16/(1+H2)^1 + Forecast!C16/(1+H2)^2 + Forecast!D16/(1+H2)^3 + Forecast!E16/(1+H2)^4 + Forecast!F16/(1+H2)^5 + (Forecast!F16*(1+A5)/(H2-A5))/(1+H2)^5  - Inputs!B5) / Inputs!B4</f>
        <v/>
      </c>
    </row>
    <row r="6">
      <c r="A6" s="2" t="n">
        <v>0.04</v>
      </c>
      <c r="B6" s="8">
        <f>(Forecast!B16/(1+B2)^1 + Forecast!C16/(1+B2)^2 + Forecast!D16/(1+B2)^3 + Forecast!E16/(1+B2)^4 + Forecast!F16/(1+B2)^5 + (Forecast!F16*(1+A6)/(B2-A6))/(1+B2)^5  - Inputs!B5) / Inputs!B4</f>
        <v/>
      </c>
      <c r="C6" s="8">
        <f>(Forecast!B16/(1+C2)^1 + Forecast!C16/(1+C2)^2 + Forecast!D16/(1+C2)^3 + Forecast!E16/(1+C2)^4 + Forecast!F16/(1+C2)^5 + (Forecast!F16*(1+A6)/(C2-A6))/(1+C2)^5  - Inputs!B5) / Inputs!B4</f>
        <v/>
      </c>
      <c r="D6" s="8">
        <f>(Forecast!B16/(1+D2)^1 + Forecast!C16/(1+D2)^2 + Forecast!D16/(1+D2)^3 + Forecast!E16/(1+D2)^4 + Forecast!F16/(1+D2)^5 + (Forecast!F16*(1+A6)/(D2-A6))/(1+D2)^5  - Inputs!B5) / Inputs!B4</f>
        <v/>
      </c>
      <c r="E6" s="8">
        <f>(Forecast!B16/(1+E2)^1 + Forecast!C16/(1+E2)^2 + Forecast!D16/(1+E2)^3 + Forecast!E16/(1+E2)^4 + Forecast!F16/(1+E2)^5 + (Forecast!F16*(1+A6)/(E2-A6))/(1+E2)^5  - Inputs!B5) / Inputs!B4</f>
        <v/>
      </c>
      <c r="F6" s="8">
        <f>(Forecast!B16/(1+F2)^1 + Forecast!C16/(1+F2)^2 + Forecast!D16/(1+F2)^3 + Forecast!E16/(1+F2)^4 + Forecast!F16/(1+F2)^5 + (Forecast!F16*(1+A6)/(F2-A6))/(1+F2)^5  - Inputs!B5) / Inputs!B4</f>
        <v/>
      </c>
      <c r="G6" s="8">
        <f>(Forecast!B16/(1+G2)^1 + Forecast!C16/(1+G2)^2 + Forecast!D16/(1+G2)^3 + Forecast!E16/(1+G2)^4 + Forecast!F16/(1+G2)^5 + (Forecast!F16*(1+A6)/(G2-A6))/(1+G2)^5  - Inputs!B5) / Inputs!B4</f>
        <v/>
      </c>
      <c r="H6" s="8">
        <f>(Forecast!B16/(1+H2)^1 + Forecast!C16/(1+H2)^2 + Forecast!D16/(1+H2)^3 + Forecast!E16/(1+H2)^4 + Forecast!F16/(1+H2)^5 + (Forecast!F16*(1+A6)/(H2-A6))/(1+H2)^5  - Inputs!B5) / Inputs!B4</f>
        <v/>
      </c>
    </row>
    <row r="7">
      <c r="A7" s="2" t="n">
        <v>0.05</v>
      </c>
      <c r="B7" s="8">
        <f>(Forecast!B16/(1+B2)^1 + Forecast!C16/(1+B2)^2 + Forecast!D16/(1+B2)^3 + Forecast!E16/(1+B2)^4 + Forecast!F16/(1+B2)^5 + (Forecast!F16*(1+A7)/(B2-A7))/(1+B2)^5  - Inputs!B5) / Inputs!B4</f>
        <v/>
      </c>
      <c r="C7" s="8">
        <f>(Forecast!B16/(1+C2)^1 + Forecast!C16/(1+C2)^2 + Forecast!D16/(1+C2)^3 + Forecast!E16/(1+C2)^4 + Forecast!F16/(1+C2)^5 + (Forecast!F16*(1+A7)/(C2-A7))/(1+C2)^5  - Inputs!B5) / Inputs!B4</f>
        <v/>
      </c>
      <c r="D7" s="8">
        <f>(Forecast!B16/(1+D2)^1 + Forecast!C16/(1+D2)^2 + Forecast!D16/(1+D2)^3 + Forecast!E16/(1+D2)^4 + Forecast!F16/(1+D2)^5 + (Forecast!F16*(1+A7)/(D2-A7))/(1+D2)^5  - Inputs!B5) / Inputs!B4</f>
        <v/>
      </c>
      <c r="E7" s="8">
        <f>(Forecast!B16/(1+E2)^1 + Forecast!C16/(1+E2)^2 + Forecast!D16/(1+E2)^3 + Forecast!E16/(1+E2)^4 + Forecast!F16/(1+E2)^5 + (Forecast!F16*(1+A7)/(E2-A7))/(1+E2)^5  - Inputs!B5) / Inputs!B4</f>
        <v/>
      </c>
      <c r="F7" s="8">
        <f>(Forecast!B16/(1+F2)^1 + Forecast!C16/(1+F2)^2 + Forecast!D16/(1+F2)^3 + Forecast!E16/(1+F2)^4 + Forecast!F16/(1+F2)^5 + (Forecast!F16*(1+A7)/(F2-A7))/(1+F2)^5  - Inputs!B5) / Inputs!B4</f>
        <v/>
      </c>
      <c r="G7" s="8">
        <f>(Forecast!B16/(1+G2)^1 + Forecast!C16/(1+G2)^2 + Forecast!D16/(1+G2)^3 + Forecast!E16/(1+G2)^4 + Forecast!F16/(1+G2)^5 + (Forecast!F16*(1+A7)/(G2-A7))/(1+G2)^5  - Inputs!B5) / Inputs!B4</f>
        <v/>
      </c>
      <c r="H7" s="8">
        <f>(Forecast!B16/(1+H2)^1 + Forecast!C16/(1+H2)^2 + Forecast!D16/(1+H2)^3 + Forecast!E16/(1+H2)^4 + Forecast!F16/(1+H2)^5 + (Forecast!F16*(1+A7)/(H2-A7))/(1+H2)^5  - Inputs!B5) / Inputs!B4</f>
        <v/>
      </c>
    </row>
    <row r="9">
      <c r="A9" t="inlineStr">
        <is>
          <t>Grid recomputes DCF using each WACC,g pair. Edit Inputs to change assumptions.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44" customWidth="1" min="4" max="4"/>
  </cols>
  <sheetData>
    <row r="1">
      <c r="A1" t="inlineStr">
        <is>
          <t>Ticker</t>
        </is>
      </c>
      <c r="B1" t="inlineStr">
        <is>
          <t>EV/EBITDA (NTM)</t>
        </is>
      </c>
      <c r="C1" t="inlineStr">
        <is>
          <t>P/E (NTM)</t>
        </is>
      </c>
      <c r="D1" t="inlineStr">
        <is>
          <t>Notes</t>
        </is>
      </c>
    </row>
    <row r="2">
      <c r="A2" t="inlineStr">
        <is>
          <t>HOOD</t>
        </is>
      </c>
      <c r="B2" t="n">
        <v>63</v>
      </c>
      <c r="C2" t="n">
        <v>71</v>
      </c>
      <c r="D2" t="inlineStr">
        <is>
          <t>Enter market multiples (NTM)</t>
        </is>
      </c>
    </row>
    <row r="3">
      <c r="A3" t="inlineStr">
        <is>
          <t>SCHW</t>
        </is>
      </c>
      <c r="B3" t="n">
        <v>36</v>
      </c>
      <c r="C3" t="n">
        <v>18.2</v>
      </c>
      <c r="D3" t="inlineStr">
        <is>
          <t>Enter market multiples (NTM)</t>
        </is>
      </c>
    </row>
    <row r="4">
      <c r="A4" t="inlineStr">
        <is>
          <t>IBKR</t>
        </is>
      </c>
      <c r="B4" t="n">
        <v>33</v>
      </c>
      <c r="C4" t="n">
        <v>32.3</v>
      </c>
      <c r="D4" t="inlineStr">
        <is>
          <t>Enter market multiples (NTM)</t>
        </is>
      </c>
    </row>
    <row r="5">
      <c r="A5" t="inlineStr">
        <is>
          <t>COIN</t>
        </is>
      </c>
      <c r="B5" t="n">
        <v>24.6</v>
      </c>
      <c r="C5" t="n">
        <v>54</v>
      </c>
      <c r="D5" t="inlineStr">
        <is>
          <t>Enter market multiples (NTM)</t>
        </is>
      </c>
    </row>
    <row r="6">
      <c r="A6" t="inlineStr">
        <is>
          <t>SOFI</t>
        </is>
      </c>
      <c r="B6" t="inlineStr"/>
      <c r="C6" t="n">
        <v>47</v>
      </c>
      <c r="D6" t="inlineStr">
        <is>
          <t>Enter market multiples (NTM)</t>
        </is>
      </c>
    </row>
    <row r="8">
      <c r="A8" t="inlineStr">
        <is>
          <t>Select Forecast Year for Comps (1=Y1, 2=Y2, etc.)</t>
        </is>
      </c>
      <c r="B8" t="n">
        <v>2</v>
      </c>
      <c r="C8" t="inlineStr">
        <is>
          <t>Use Y2 to proxy NTM</t>
        </is>
      </c>
    </row>
    <row r="10">
      <c r="A10" t="inlineStr">
        <is>
          <t>Derived metrics</t>
        </is>
      </c>
      <c r="B10" s="1">
        <f>INDEX(Forecast!B9:F9,1,B8)</f>
        <v/>
      </c>
    </row>
    <row r="11">
      <c r="A11" t="inlineStr">
        <is>
          <t>EBITDA (selected year)</t>
        </is>
      </c>
      <c r="B11" s="5">
        <f>Inputs!B4</f>
        <v/>
      </c>
      <c r="D11">
        <f>INDEX(Forecast!B9:F9, 1, B8)</f>
        <v/>
      </c>
    </row>
    <row r="12">
      <c r="A12" t="inlineStr">
        <is>
          <t>Net Income (proxy)</t>
        </is>
      </c>
      <c r="B12" s="1">
        <f>Inputs!B5</f>
        <v/>
      </c>
      <c r="D12">
        <f>INDEX(Forecast!B11:F11, 1, B8)*(1-Inputs!B6)</f>
        <v/>
      </c>
    </row>
    <row r="13">
      <c r="A13" t="inlineStr">
        <is>
          <t>Shares (mm)</t>
        </is>
      </c>
      <c r="B13">
        <f>MEDIAN(B2:B6)</f>
        <v/>
      </c>
    </row>
    <row r="14">
      <c r="A14" t="inlineStr">
        <is>
          <t>Net Debt ($M)</t>
        </is>
      </c>
      <c r="B14" s="1">
        <f>IF(INDEX(Forecast!B9:F9,1,B8)&lt;=0,"",B13*INDEX(Forecast!B9:F9,1,B8))</f>
        <v/>
      </c>
    </row>
    <row r="15">
      <c r="B15" s="1">
        <f>IF(B14="","",B14 - B12)</f>
        <v/>
      </c>
    </row>
    <row r="16">
      <c r="A16" t="inlineStr">
        <is>
          <t>Implied Price from EV/EBITDA</t>
        </is>
      </c>
      <c r="B16" s="8">
        <f>IF(AND(B15&lt;&gt;"",B11&gt;0),B15/B11,"")</f>
        <v/>
      </c>
    </row>
    <row r="17">
      <c r="A17" t="inlineStr">
        <is>
          <t>Median EV/EBITDA</t>
        </is>
      </c>
      <c r="B17">
        <f>MEDIAN(B2:B6)</f>
        <v/>
      </c>
    </row>
    <row r="18">
      <c r="A18" t="inlineStr">
        <is>
          <t>Implied EV (median)</t>
        </is>
      </c>
      <c r="B18" s="1">
        <f>MEDIAN(C2:C6)</f>
        <v/>
      </c>
    </row>
    <row r="19">
      <c r="A19" t="inlineStr">
        <is>
          <t>Implied Equity ($M)</t>
        </is>
      </c>
      <c r="B19" s="1">
        <f>IF(INDEX(Forecast!B11:F11,1,B8)*(1-Inputs!B6)&lt;=0,"",B18*INDEX(Forecast!B11:F11,1,B8)*(1-Inputs!B6))</f>
        <v/>
      </c>
    </row>
    <row r="20">
      <c r="A20" t="inlineStr">
        <is>
          <t>Implied Price / share</t>
        </is>
      </c>
      <c r="B20" s="8">
        <f>IF(AND(B19&lt;&gt;"",B11&gt;0),B19/B11,"")</f>
        <v/>
      </c>
    </row>
    <row r="22">
      <c r="A22" t="inlineStr">
        <is>
          <t>Implied Price from P/E</t>
        </is>
      </c>
    </row>
    <row r="23">
      <c r="A23" t="inlineStr">
        <is>
          <t>Median P/E</t>
        </is>
      </c>
      <c r="B23">
        <f>MEDIAN(C2:C6)</f>
        <v/>
      </c>
    </row>
    <row r="24">
      <c r="A24" t="inlineStr">
        <is>
          <t>Implied Market Cap</t>
        </is>
      </c>
      <c r="B24">
        <f>B18*B10</f>
        <v/>
      </c>
    </row>
    <row r="25">
      <c r="A25" t="inlineStr">
        <is>
          <t>Implied Price / share</t>
        </is>
      </c>
      <c r="B25">
        <f>B19/B11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0" customWidth="1" min="3" max="3"/>
  </cols>
  <sheetData>
    <row r="1">
      <c r="A1" t="inlineStr">
        <is>
          <t>Valuation Output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DCF Equity / Share</t>
        </is>
      </c>
      <c r="B2" s="8">
        <f>DCF!B24</f>
        <v/>
      </c>
      <c r="C2" t="inlineStr">
        <is>
          <t>From base WACC,g in DCF sheet</t>
        </is>
      </c>
    </row>
    <row r="3">
      <c r="A3" t="inlineStr">
        <is>
          <t>Comps (EV/EBITDA) Price</t>
        </is>
      </c>
      <c r="B3" s="8">
        <f>IF(Comps!B16="","",Comps!B16)</f>
        <v/>
      </c>
      <c r="C3" t="inlineStr">
        <is>
          <t>Median EV/EBITDA → price</t>
        </is>
      </c>
    </row>
    <row r="4">
      <c r="A4" t="inlineStr">
        <is>
          <t>Comps (P/E) Price</t>
        </is>
      </c>
      <c r="B4" s="8">
        <f>IF(Comps!B20="","",Comps!B20)</f>
        <v/>
      </c>
      <c r="C4" t="inlineStr">
        <is>
          <t>Median P/E → price</t>
        </is>
      </c>
    </row>
    <row r="5">
      <c r="A5" t="inlineStr">
        <is>
          <t>Comps Median Price</t>
        </is>
      </c>
      <c r="B5" s="8">
        <f>IF(COUNT(B3:B4)=0,"",MEDIAN(B3:B4))</f>
        <v/>
      </c>
    </row>
    <row r="6">
      <c r="B6" s="8">
        <f>IF(B2="","",IF(B5="",B2,AVERAGE(B2,B5)))</f>
        <v/>
      </c>
    </row>
    <row r="7">
      <c r="A7" t="inlineStr">
        <is>
          <t>Triangulated Target Price</t>
        </is>
      </c>
      <c r="B7">
        <f>AVERAGE(B2,B5)</f>
        <v/>
      </c>
      <c r="C7" t="inlineStr">
        <is>
          <t>Average of DCF &amp; comps median</t>
        </is>
      </c>
    </row>
    <row r="8">
      <c r="A8" t="inlineStr">
        <is>
          <t>Upside vs Current Price</t>
        </is>
      </c>
      <c r="C8" t="inlineStr">
        <is>
          <t>Enter spot price below</t>
        </is>
      </c>
    </row>
    <row r="9">
      <c r="A9" t="inlineStr">
        <is>
          <t>Current Price (manual)</t>
        </is>
      </c>
      <c r="B9" s="2">
        <f>IF(AND(B8&gt;0,B6&lt;&gt;""),(B6-B8)/B8,"")</f>
        <v/>
      </c>
    </row>
    <row r="10">
      <c r="A10" t="inlineStr">
        <is>
          <t>Upside %</t>
        </is>
      </c>
      <c r="B10">
        <f>IF(B8&gt;0,(B6-B8)/B8,"")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Initiation — Robinhood Markets (HOOD): DCF &amp; Comps Summary</t>
        </is>
      </c>
    </row>
    <row r="3">
      <c r="A3">
        <f> "Call: Target Price = $" &amp; TEXT(Valuation_Summary!B6, "0.00") &amp; " (DCF $" &amp; TEXT(Valuation_Summary!B2,"0.00") &amp; ", Comps $" &amp; TEXT(Valuation_Summary!B5,"0.00") &amp; ")"</f>
        <v/>
      </c>
    </row>
    <row r="5">
      <c r="A5" t="inlineStr">
        <is>
          <t>Thesis (3 bullets):</t>
        </is>
      </c>
    </row>
    <row r="6">
      <c r="A6" t="inlineStr">
        <is>
          <t>• Scalable brokerage platform with improving unit economics; operating leverage as S&amp;M intensity normalizes.</t>
        </is>
      </c>
    </row>
    <row r="7">
      <c r="A7" t="inlineStr">
        <is>
          <t>• Product expansion (options, futures, credit card/Gold) increases ARPU and retention; cash yields support NII tailwind.</t>
        </is>
      </c>
    </row>
    <row r="8">
      <c r="A8" t="inlineStr">
        <is>
          <t>• Strong net cash; optionality for buybacks or M&amp;A as profitability stabilizes.</t>
        </is>
      </c>
    </row>
    <row r="10">
      <c r="A10" t="inlineStr">
        <is>
          <t>Catalysts:</t>
        </is>
      </c>
    </row>
    <row r="11">
      <c r="A11" t="inlineStr">
        <is>
          <t>• Feature launches / cross-sell attach; MAU growth re-acceleration.</t>
        </is>
      </c>
    </row>
    <row r="12">
      <c r="A12" t="inlineStr">
        <is>
          <t>• Margin expansion vs. guide; opex discipline; SBC trending down.</t>
        </is>
      </c>
    </row>
    <row r="13">
      <c r="A13" t="inlineStr">
        <is>
          <t>• Macro rate path stabilizing; sustained net interest revenue.</t>
        </is>
      </c>
    </row>
    <row r="15">
      <c r="A15" t="inlineStr">
        <is>
          <t>Key risks:</t>
        </is>
      </c>
    </row>
    <row r="16">
      <c r="A16" t="inlineStr">
        <is>
          <t>• Regulatory changes (payment-for-order-flow, crypto).</t>
        </is>
      </c>
    </row>
    <row r="17">
      <c r="A17" t="inlineStr">
        <is>
          <t>• Volatility in trading volumes; MAU churn.</t>
        </is>
      </c>
    </row>
    <row r="18">
      <c r="A18" t="inlineStr">
        <is>
          <t>• Competitive response from incumbents / new entrants.</t>
        </is>
      </c>
    </row>
    <row r="20">
      <c r="A20" t="inlineStr">
        <is>
          <t>Model snapshot (Y2 proxy for NTM):</t>
        </is>
      </c>
    </row>
    <row r="21">
      <c r="A21">
        <f> "Revenue: $" &amp; TEXT(Forecast!C2,"#,##0") &amp; "M | EBITDA: $" &amp; TEXT(Forecast!C9,"#,##0") &amp; "M | EBIT margin: " &amp; TEXT(Forecast!C12,"0.0%")</f>
        <v/>
      </c>
    </row>
    <row r="23">
      <c r="A23" t="inlineStr">
        <is>
          <t>Valuation cross-check:</t>
        </is>
      </c>
    </row>
    <row r="24">
      <c r="A24">
        <f> "DCF $" &amp; IF(Valuation_Summary!B2="","-",TEXT(Valuation_Summary!B2,"0.00")) &amp; " | EV/EBITDA $" &amp; IF(Valuation_Summary!B3="","-",TEXT(Valuation_Summary!B3,"0.00")) &amp; " | P/E $" &amp; IF(Valuation_Summary!B4="","-",TEXT(Valuation_Summary!B4,"0.00"))</f>
        <v/>
      </c>
    </row>
    <row r="26">
      <c r="A26" t="inlineStr">
        <is>
          <t>Export this sheet to PDF for your portfolio. Update Inputs and Comps to refresh.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How to use this model (5–10 minutes):</t>
        </is>
      </c>
    </row>
    <row r="2">
      <c r="A2" t="inlineStr">
        <is>
          <t>1) Inputs: replace starting revenue, growth %, margins, capex, ΔNWC, shares, and net debt with real data/consensus.</t>
        </is>
      </c>
    </row>
    <row r="3">
      <c r="A3" t="inlineStr">
        <is>
          <t>2) Forecast: 5-year driver-based build; FCFF = EBIT(1–t) + D&amp;A – Capex – ΔNWC.</t>
        </is>
      </c>
    </row>
    <row r="4">
      <c r="A4" t="inlineStr">
        <is>
          <t>3) DCF: discounts FCFF at WACC; terminal via Gordon growth on Year 5 FCFF. Equity = EV – Net Debt; per share = divide by diluted shares.</t>
        </is>
      </c>
    </row>
    <row r="5">
      <c r="A5" t="inlineStr">
        <is>
          <t>4) Sensitivity: WACC × terminal g grid returns equity value per share for quick triangulation.</t>
        </is>
      </c>
    </row>
    <row r="6">
      <c r="A6" t="inlineStr">
        <is>
          <t>5) Comps: paste NTM EV/EBITDA &amp; P/E for HOOD + peers (SCHW, IBKR, COIN, SOFI). Pick Y2 for NTM proxy.</t>
        </is>
      </c>
    </row>
    <row r="7">
      <c r="A7" t="inlineStr">
        <is>
          <t>6) Valuation_Summary: averages DCF and comps median to a target price; type current price to show upside %.</t>
        </is>
      </c>
    </row>
    <row r="8">
      <c r="A8" t="inlineStr">
        <is>
          <t>7) Initiation_OnePager: auto-fills call, key numbers, thesis/catalysts/risks bullets ready for PDF export.</t>
        </is>
      </c>
    </row>
    <row r="9">
      <c r="A9" t="inlineStr">
        <is>
          <t>Notes: For banks (e.g., JPM), analysts often prefer dividend discount/residual income. For HOOD/fintech, EV-based DCF is standard enough for portfolio work.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2025-10-10T19:10:57Z</dcterms:created>
  <dcterms:modified xmlns:dcterms="http://purl.org/dc/terms/" xmlns:xsi="http://www.w3.org/2001/XMLSchema-instance" xsi:type="dcterms:W3CDTF">2025-10-10T19:10:57Z</dcterms:modified>
</cp:coreProperties>
</file>