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ielmarkov/Downloads/"/>
    </mc:Choice>
  </mc:AlternateContent>
  <xr:revisionPtr revIDLastSave="0" documentId="8_{79816F6B-07F4-2A41-A293-8ABB8202A32A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Assumptions" sheetId="1" r:id="rId1"/>
    <sheet name="Plan_2025" sheetId="2" r:id="rId2"/>
    <sheet name="Actuals_2025" sheetId="3" r:id="rId3"/>
    <sheet name="Bridge_YTD_Q2" sheetId="4" r:id="rId4"/>
    <sheet name="Dashboard" sheetId="5" r:id="rId5"/>
    <sheet name="Exec_Memo" sheetId="6" r:id="rId6"/>
    <sheet name="Guide_&amp;_Source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G8" i="3"/>
  <c r="B8" i="3"/>
  <c r="O5" i="3"/>
  <c r="O8" i="3" s="1"/>
  <c r="G5" i="3"/>
  <c r="F5" i="3"/>
  <c r="F8" i="3" s="1"/>
  <c r="E5" i="3"/>
  <c r="E8" i="3" s="1"/>
  <c r="D5" i="3"/>
  <c r="D8" i="3" s="1"/>
  <c r="C5" i="3"/>
  <c r="C8" i="3" s="1"/>
  <c r="B5" i="3"/>
  <c r="G4" i="3"/>
  <c r="G6" i="3" s="1"/>
  <c r="G9" i="3" s="1"/>
  <c r="E4" i="3"/>
  <c r="E7" i="3" s="1"/>
  <c r="C4" i="3"/>
  <c r="C7" i="3" s="1"/>
  <c r="O3" i="3"/>
  <c r="G3" i="3"/>
  <c r="F3" i="3"/>
  <c r="F4" i="3" s="1"/>
  <c r="E3" i="3"/>
  <c r="D3" i="3"/>
  <c r="D4" i="3" s="1"/>
  <c r="C3" i="3"/>
  <c r="B3" i="3"/>
  <c r="B4" i="3" s="1"/>
  <c r="O2" i="3"/>
  <c r="D12" i="5" s="1"/>
  <c r="L5" i="2"/>
  <c r="J5" i="2"/>
  <c r="H5" i="2"/>
  <c r="H6" i="2" s="1"/>
  <c r="F5" i="2"/>
  <c r="E5" i="2"/>
  <c r="D5" i="2"/>
  <c r="B5" i="2"/>
  <c r="H4" i="2"/>
  <c r="E4" i="2"/>
  <c r="E6" i="2" s="1"/>
  <c r="J3" i="2"/>
  <c r="J4" i="2" s="1"/>
  <c r="J6" i="2" s="1"/>
  <c r="H3" i="2"/>
  <c r="F3" i="2"/>
  <c r="F4" i="2" s="1"/>
  <c r="F6" i="2" s="1"/>
  <c r="E3" i="2"/>
  <c r="B3" i="2"/>
  <c r="B4" i="2" s="1"/>
  <c r="L2" i="2"/>
  <c r="K2" i="2"/>
  <c r="J2" i="2"/>
  <c r="I2" i="2"/>
  <c r="I3" i="2" s="1"/>
  <c r="I4" i="2" s="1"/>
  <c r="H2" i="2"/>
  <c r="G2" i="2"/>
  <c r="G5" i="2" s="1"/>
  <c r="F2" i="2"/>
  <c r="E2" i="2"/>
  <c r="D2" i="2"/>
  <c r="C2" i="2"/>
  <c r="B2" i="2"/>
  <c r="N25" i="1"/>
  <c r="M2" i="2" s="1"/>
  <c r="M5" i="2" l="1"/>
  <c r="M3" i="2"/>
  <c r="M4" i="2"/>
  <c r="M6" i="2" s="1"/>
  <c r="I6" i="2"/>
  <c r="O2" i="2"/>
  <c r="C4" i="2"/>
  <c r="C6" i="2" s="1"/>
  <c r="D4" i="2"/>
  <c r="D6" i="2" s="1"/>
  <c r="B6" i="3"/>
  <c r="O4" i="3"/>
  <c r="B7" i="3"/>
  <c r="B6" i="2"/>
  <c r="D6" i="3"/>
  <c r="D9" i="3" s="1"/>
  <c r="D7" i="3"/>
  <c r="F6" i="3"/>
  <c r="F9" i="3" s="1"/>
  <c r="F7" i="3"/>
  <c r="E6" i="3"/>
  <c r="E9" i="3" s="1"/>
  <c r="B11" i="4"/>
  <c r="C3" i="2"/>
  <c r="K3" i="2"/>
  <c r="K4" i="2" s="1"/>
  <c r="K6" i="2" s="1"/>
  <c r="I5" i="2"/>
  <c r="G7" i="3"/>
  <c r="B2" i="4"/>
  <c r="B7" i="4" s="1"/>
  <c r="D3" i="2"/>
  <c r="L3" i="2"/>
  <c r="L4" i="2" s="1"/>
  <c r="L6" i="2" s="1"/>
  <c r="G4" i="2"/>
  <c r="G6" i="2" s="1"/>
  <c r="B2" i="5"/>
  <c r="D10" i="5"/>
  <c r="C5" i="2"/>
  <c r="O5" i="2" s="1"/>
  <c r="K5" i="2"/>
  <c r="C2" i="5"/>
  <c r="D11" i="5"/>
  <c r="C6" i="3"/>
  <c r="C9" i="3" s="1"/>
  <c r="G3" i="2"/>
  <c r="O4" i="2" l="1"/>
  <c r="B6" i="4"/>
  <c r="A5" i="6" s="1"/>
  <c r="B3" i="5"/>
  <c r="B4" i="5"/>
  <c r="O6" i="2"/>
  <c r="O9" i="2" s="1"/>
  <c r="C6" i="5"/>
  <c r="D6" i="5" s="1"/>
  <c r="D2" i="5"/>
  <c r="O8" i="2"/>
  <c r="O7" i="2"/>
  <c r="O6" i="3"/>
  <c r="B9" i="3"/>
  <c r="C3" i="5"/>
  <c r="D3" i="5" s="1"/>
  <c r="O7" i="3"/>
  <c r="B9" i="4" s="1"/>
  <c r="B6" i="5"/>
  <c r="B5" i="5"/>
  <c r="O3" i="2"/>
  <c r="D9" i="5" l="1"/>
  <c r="D13" i="5" s="1"/>
  <c r="C4" i="5"/>
  <c r="D4" i="5" s="1"/>
  <c r="B12" i="4"/>
  <c r="O9" i="3"/>
  <c r="C5" i="5"/>
  <c r="A18" i="6" l="1"/>
  <c r="D5" i="5"/>
  <c r="A3" i="6"/>
  <c r="B10" i="4" l="1"/>
</calcChain>
</file>

<file path=xl/sharedStrings.xml><?xml version="1.0" encoding="utf-8"?>
<sst xmlns="http://schemas.openxmlformats.org/spreadsheetml/2006/main" count="166" uniqueCount="125">
  <si>
    <t>Key</t>
  </si>
  <si>
    <t>Value</t>
  </si>
  <si>
    <t>Notes</t>
  </si>
  <si>
    <t>Company</t>
  </si>
  <si>
    <t>CELSIUS Holdings — Consumer (portfolio)</t>
  </si>
  <si>
    <t>We model company totals; the bridge separates the Alani Nu M&amp;A effect.</t>
  </si>
  <si>
    <t>Units</t>
  </si>
  <si>
    <t>USD ($M)</t>
  </si>
  <si>
    <t>Millions for simplicity; margins in %.</t>
  </si>
  <si>
    <t>Plan Year</t>
  </si>
  <si>
    <t>Rolling 12M beginning Jan 2025.</t>
  </si>
  <si>
    <t>FY2024 Revenue (actual)</t>
  </si>
  <si>
    <t>From FY2024 release.</t>
  </si>
  <si>
    <t>H1 2025 Revenue (actual)</t>
  </si>
  <si>
    <t>From IR release (H1).</t>
  </si>
  <si>
    <t>Q1 2025 Revenue (actual)</t>
  </si>
  <si>
    <t>Closed Alani Nu on Apr 1; Q1 is CELSIUS-only.</t>
  </si>
  <si>
    <t>Q2 2025 Revenue (actual, total)</t>
  </si>
  <si>
    <t>Includes Alani Nu.</t>
  </si>
  <si>
    <t>Q2 2025 Revenue from Alani Nu</t>
  </si>
  <si>
    <t>Per release; used as M&amp;A bridge bucket.</t>
  </si>
  <si>
    <t>H1 2025 Gross Margin % (reported)</t>
  </si>
  <si>
    <t>51.8% H1 blended GM%.</t>
  </si>
  <si>
    <t>Q1 2025 Gross Margin %</t>
  </si>
  <si>
    <t>From Q1 release.</t>
  </si>
  <si>
    <t>Q2 2025 Gross Margin % (blended)</t>
  </si>
  <si>
    <t>From Q2 release.</t>
  </si>
  <si>
    <t>Q1 2025 SG&amp;A ($M)</t>
  </si>
  <si>
    <t>Q2 2025 SG&amp;A ($M)</t>
  </si>
  <si>
    <t>Includes Alani Nu + deal costs.</t>
  </si>
  <si>
    <t>Plan: YoY growth vs FY2024</t>
  </si>
  <si>
    <t>Standalone CELSIUS plan (no Alani).</t>
  </si>
  <si>
    <t>Plan: Gross Margin %</t>
  </si>
  <si>
    <t>Target GM%.</t>
  </si>
  <si>
    <t>Plan: SG&amp;A % of Revenue</t>
  </si>
  <si>
    <t>Includes marketing and overhead.</t>
  </si>
  <si>
    <t>Tax Rate</t>
  </si>
  <si>
    <t>FCF proxy computation.</t>
  </si>
  <si>
    <t>Capex % of Revenue</t>
  </si>
  <si>
    <t>Proxy for beverage capex.</t>
  </si>
  <si>
    <t>D&amp;A % of Revenue</t>
  </si>
  <si>
    <t>Proxy; for FCF proxy.</t>
  </si>
  <si>
    <t>NWC % of Revenue</t>
  </si>
  <si>
    <t>Level; Δ drives cash use on growth.</t>
  </si>
  <si>
    <t>Seasonality Weights (Plan, % of FY)</t>
  </si>
  <si>
    <t>Weights sum to 100%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</si>
  <si>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</si>
  <si>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</si>
  <si>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</si>
  <si>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</si>
  <si>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</si>
  <si>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</si>
  <si>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</si>
  <si>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</si>
  <si>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</si>
  <si>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</si>
  <si>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</si>
  <si>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</si>
  <si>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</si>
  <si>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</si>
  <si>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Weight</t>
  </si>
  <si>
    <t>Metric</t>
  </si>
  <si>
    <t>FY Total</t>
  </si>
  <si>
    <t>Revenue</t>
  </si>
  <si>
    <t>COGS</t>
  </si>
  <si>
    <t>Gross Profit</t>
  </si>
  <si>
    <t>SG&amp;A</t>
  </si>
  <si>
    <t>EBIT</t>
  </si>
  <si>
    <t>GM%</t>
  </si>
  <si>
    <t>SG&amp;A %</t>
  </si>
  <si>
    <t>EBIT Margin %</t>
  </si>
  <si>
    <t>YTD H1</t>
  </si>
  <si>
    <t>Driver</t>
  </si>
  <si>
    <t>$ Variance (YTD Q2)</t>
  </si>
  <si>
    <t>Plan Revenue (YTD Q2)</t>
  </si>
  <si>
    <t>Actual Revenue (YTD Q2)</t>
  </si>
  <si>
    <t>M&amp;A: Alani Nu revenue (Q2)</t>
  </si>
  <si>
    <t>Per Q2 release; included in actuals, not in plan.</t>
  </si>
  <si>
    <t>Price</t>
  </si>
  <si>
    <t>0</t>
  </si>
  <si>
    <t>No disclosed net pricing; set to 0 for transparency.</t>
  </si>
  <si>
    <t>Volume/Mix</t>
  </si>
  <si>
    <t>Residual variance attributed to CELSIUS base volume/mix.</t>
  </si>
  <si>
    <t>Revenue Net Variance</t>
  </si>
  <si>
    <t>Check</t>
  </si>
  <si>
    <t>COGS-rate variance (unfavorable = positive)</t>
  </si>
  <si>
    <t>(Actual COGS% - Plan COGS%) on YTD sales. Multiply by YTD revenue to get $ effect.</t>
  </si>
  <si>
    <t>COGS $ variance (YTD)</t>
  </si>
  <si>
    <t>SG&amp;A variance ($)</t>
  </si>
  <si>
    <t>EBIT variance ($)</t>
  </si>
  <si>
    <t>KPI</t>
  </si>
  <si>
    <t>YTD Plan (Q2)</t>
  </si>
  <si>
    <t>YTD Actual (Q2)</t>
  </si>
  <si>
    <t>YTD Variance</t>
  </si>
  <si>
    <t>Positive variance on GM% is favorable; on SG&amp;A% lower is favorable.</t>
  </si>
  <si>
    <t>FCF proxy (YTD)</t>
  </si>
  <si>
    <t>NOPAT + D&amp;A − Capex − ΔNWC</t>
  </si>
  <si>
    <t>NOPAT (YTD)</t>
  </si>
  <si>
    <t>D&amp;A (YTD)</t>
  </si>
  <si>
    <t>Capex (YTD)</t>
  </si>
  <si>
    <t>ΔNWC (YTD)</t>
  </si>
  <si>
    <t>Change vs plan level</t>
  </si>
  <si>
    <t>FCF (proxy, YTD)</t>
  </si>
  <si>
    <t>Executive Summary — YTD Q2 FY2025 (CELSIUS FP&amp;A)</t>
  </si>
  <si>
    <t>Drivers &amp; takeaways:</t>
  </si>
  <si>
    <t>• Q1 CELSIUS-only revenue was $329M with ~52.3% GM. Q2 total revenue was $739M, of which ~$301M was from Alani Nu (acquired Apr 1). Blended GM was ~51.5%.</t>
  </si>
  <si>
    <t>• Versus a standalone CELSIUS plan (+25% YoY), H1 revenue finish benefited from M&amp;A while base volume/mix underperformed plan due to promo timing and channel mix.</t>
  </si>
  <si>
    <t>• SG&amp;A rose in Q2 on integration and deal-related costs; watch run‑rate in H2 as synergies appear.</t>
  </si>
  <si>
    <t>Actions:</t>
  </si>
  <si>
    <t>1) Tighten promo ROI to lift net price realization; rebalance trade spend to higher-velocity channels.</t>
  </si>
  <si>
    <t>2) Negotiate material and freight to defend GM ≈52%, target mix toward higher-margin multi‑packs and innovation.</t>
  </si>
  <si>
    <t>3) Post‑close integration: separate Alani Nu tracking (P&amp;L and shipments) and set synergy targets for FY2026.</t>
  </si>
  <si>
    <t>KPI headroom:</t>
  </si>
  <si>
    <t>How this model works:</t>
  </si>
  <si>
    <t>• Plan_2025 builds a driver-based monthly plan using FY2024 as the base, +25% YoY growth, GM 52%, SG&amp;A 24%.</t>
  </si>
  <si>
    <t>• Actuals_2025 loads real Q1 and Q2 2025 results from company press releases; Q2 includes Alani Nu from Apr 1, 2025.</t>
  </si>
  <si>
    <t>• Bridge_YTD_Q2 decomposes YTD revenue variance into an explicit M&amp;A bucket (Alani Nu), Price (assumed 0 due to no disclosed net pricing), and residual Volume/Mix.</t>
  </si>
  <si>
    <t>• Dashboard summarizes YTD plan vs actuals KPIs and a simple FCF proxy.</t>
  </si>
  <si>
    <t>• Exec_Memo is a one‑pager populated with live numbers and recommended actions.</t>
  </si>
  <si>
    <t>Key real‑world data seeded:</t>
  </si>
  <si>
    <t>• FY2024 revenue = $1.36B (company release).</t>
  </si>
  <si>
    <t>• Q1 2025 revenue = $329.3M; GM% ≈ 52.3%; SG&amp;A ≈ $120.3M.</t>
  </si>
  <si>
    <t>• Q2 2025 revenue = $739.3M; Alani Nu contribution ≈ $301.2M; GM% ≈ 51.5%; H1 2025 revenue = $1,068.5M; H1 GM% ≈ 51.8%.</t>
  </si>
  <si>
    <t>Assumptions you can edit quickly: Plan growth %, GM%, SG&amp;A%, tax, capex%, D&amp;A%, NWC%.</t>
  </si>
  <si>
    <t>How to present in interviews: state your base plan (standalone CELSIUS), show YTD performance and the bridge, then recommend pricing/promo and SG&amp;A controls for H2.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</si>
</sst>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/>
  </sheetViews>
  <sheetFormatPr baseColWidth="10" defaultColWidth="8.83203125" defaultRowHeight="15" x14ac:dyDescent="0.2"/>
  <cols>
    <col min="1" max="1" width="34" customWidth="1"/>
    <col min="2" max="2" width="18" customWidth="1"/>
    <col min="3" max="3" width="70" customWidth="1"/>
  </cols>
  <sheetData>
    <row r="1" spans="1:3" s="1" customFormat="1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s="2">
        <v>2025</v>
      </c>
      <c r="C4" t="s">
        <v>10</v>
      </c>
    </row>
    <row r="5" spans="1:3" x14ac:dyDescent="0.2">
      <c r="A5" t="s">
        <v>11</v>
      </c>
      <c r="B5" s="3">
        <v>1356</v>
      </c>
      <c r="C5" t="s">
        <v>12</v>
      </c>
    </row>
    <row r="6" spans="1:3" x14ac:dyDescent="0.2">
      <c r="A6" t="s">
        <v>13</v>
      </c>
      <c r="B6" s="3">
        <v>1068.5350000000001</v>
      </c>
      <c r="C6" t="s">
        <v>14</v>
      </c>
    </row>
    <row r="7" spans="1:3" x14ac:dyDescent="0.2">
      <c r="A7" t="s">
        <v>15</v>
      </c>
      <c r="B7" s="3">
        <v>329.27600000000001</v>
      </c>
      <c r="C7" t="s">
        <v>16</v>
      </c>
    </row>
    <row r="8" spans="1:3" x14ac:dyDescent="0.2">
      <c r="A8" t="s">
        <v>17</v>
      </c>
      <c r="B8" s="3">
        <v>739.25900000000001</v>
      </c>
      <c r="C8" t="s">
        <v>18</v>
      </c>
    </row>
    <row r="9" spans="1:3" x14ac:dyDescent="0.2">
      <c r="A9" t="s">
        <v>19</v>
      </c>
      <c r="B9" s="3">
        <v>301.2</v>
      </c>
      <c r="C9" t="s">
        <v>20</v>
      </c>
    </row>
    <row r="10" spans="1:3" x14ac:dyDescent="0.2">
      <c r="A10" t="s">
        <v>21</v>
      </c>
      <c r="B10" s="2">
        <v>0.51800000000000002</v>
      </c>
      <c r="C10" t="s">
        <v>22</v>
      </c>
    </row>
    <row r="11" spans="1:3" x14ac:dyDescent="0.2">
      <c r="A11" t="s">
        <v>23</v>
      </c>
      <c r="B11" s="4">
        <v>0.52300000000000002</v>
      </c>
      <c r="C11" t="s">
        <v>24</v>
      </c>
    </row>
    <row r="12" spans="1:3" x14ac:dyDescent="0.2">
      <c r="A12" t="s">
        <v>25</v>
      </c>
      <c r="B12" s="2">
        <v>0.51500000000000001</v>
      </c>
      <c r="C12" t="s">
        <v>26</v>
      </c>
    </row>
    <row r="13" spans="1:3" x14ac:dyDescent="0.2">
      <c r="A13" t="s">
        <v>27</v>
      </c>
      <c r="B13" s="3">
        <v>120.342</v>
      </c>
      <c r="C13" t="s">
        <v>24</v>
      </c>
    </row>
    <row r="14" spans="1:3" x14ac:dyDescent="0.2">
      <c r="A14" t="s">
        <v>28</v>
      </c>
      <c r="B14" s="3">
        <v>237.886</v>
      </c>
      <c r="C14" t="s">
        <v>29</v>
      </c>
    </row>
    <row r="15" spans="1:3" x14ac:dyDescent="0.2">
      <c r="A15" t="s">
        <v>30</v>
      </c>
      <c r="B15" s="2">
        <v>0.25</v>
      </c>
      <c r="C15" t="s">
        <v>31</v>
      </c>
    </row>
    <row r="16" spans="1:3" x14ac:dyDescent="0.2">
      <c r="A16" t="s">
        <v>32</v>
      </c>
      <c r="B16" s="4">
        <v>0.52</v>
      </c>
      <c r="C16" t="s">
        <v>33</v>
      </c>
    </row>
    <row r="17" spans="1:14" x14ac:dyDescent="0.2">
      <c r="A17" t="s">
        <v>34</v>
      </c>
      <c r="B17" s="3">
        <v>0.24</v>
      </c>
      <c r="C17" t="s">
        <v>35</v>
      </c>
    </row>
    <row r="18" spans="1:14" x14ac:dyDescent="0.2">
      <c r="A18" t="s">
        <v>36</v>
      </c>
      <c r="B18" s="2">
        <v>0.25</v>
      </c>
      <c r="C18" t="s">
        <v>37</v>
      </c>
    </row>
    <row r="19" spans="1:14" x14ac:dyDescent="0.2">
      <c r="A19" t="s">
        <v>38</v>
      </c>
      <c r="B19" s="3">
        <v>0.02</v>
      </c>
      <c r="C19" t="s">
        <v>39</v>
      </c>
    </row>
    <row r="20" spans="1:14" x14ac:dyDescent="0.2">
      <c r="A20" t="s">
        <v>40</v>
      </c>
      <c r="B20" s="3">
        <v>0.02</v>
      </c>
      <c r="C20" t="s">
        <v>41</v>
      </c>
    </row>
    <row r="21" spans="1:14" x14ac:dyDescent="0.2">
      <c r="A21" t="s">
        <v>42</v>
      </c>
      <c r="B21" s="3">
        <v>0.06</v>
      </c>
      <c r="C21" t="s">
        <v>43</v>
      </c>
    </row>
    <row r="23" spans="1:14" x14ac:dyDescent="0.2">
      <c r="A23" t="s">
        <v>44</v>
      </c>
      <c r="C23" t="s">
        <v>45</v>
      </c>
    </row>
    <row r="24" spans="1:14" x14ac:dyDescent="0.2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57</v>
      </c>
      <c r="M24" t="s">
        <v>58</v>
      </c>
      <c r="N24" t="s">
        <v>59</v>
      </c>
    </row>
    <row r="25" spans="1:14" x14ac:dyDescent="0.2">
      <c r="A25" t="s">
        <v>60</v>
      </c>
      <c r="B25" s="4">
        <v>7.0000000000000007E-2</v>
      </c>
      <c r="C25" s="4">
        <v>7.0000000000000007E-2</v>
      </c>
      <c r="D25" s="4">
        <v>0.08</v>
      </c>
      <c r="E25" s="4">
        <v>8.5000000000000006E-2</v>
      </c>
      <c r="F25" s="4">
        <v>8.5000000000000006E-2</v>
      </c>
      <c r="G25" s="4">
        <v>0.1</v>
      </c>
      <c r="H25" s="4">
        <v>0.105</v>
      </c>
      <c r="I25" s="4">
        <v>0.105</v>
      </c>
      <c r="J25" s="4">
        <v>0.09</v>
      </c>
      <c r="K25" s="4">
        <v>7.4999999999999997E-2</v>
      </c>
      <c r="L25" s="4">
        <v>6.5000000000000002E-2</v>
      </c>
      <c r="M25" s="4">
        <v>7.0000000000000007E-2</v>
      </c>
      <c r="N25">
        <f>SUM(B24:M24)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tabSelected="1" workbookViewId="0">
      <selection activeCell="M4" sqref="M4"/>
    </sheetView>
  </sheetViews>
  <sheetFormatPr baseColWidth="10" defaultColWidth="8.83203125" defaultRowHeight="15" x14ac:dyDescent="0.2"/>
  <cols>
    <col min="1" max="1" width="22" customWidth="1"/>
    <col min="2" max="13" width="12" customWidth="1"/>
    <col min="15" max="15" width="34" customWidth="1"/>
  </cols>
  <sheetData>
    <row r="1" spans="1:15" s="1" customFormat="1" x14ac:dyDescent="0.2">
      <c r="A1" s="5" t="s">
        <v>61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62</v>
      </c>
    </row>
    <row r="2" spans="1:15" x14ac:dyDescent="0.2">
      <c r="A2" t="s">
        <v>63</v>
      </c>
      <c r="B2" s="3">
        <f>Assumptions!B4*(1+Assumptions!B14)*Assumptions!C25</f>
        <v>33862.090499999998</v>
      </c>
      <c r="C2" s="3">
        <f>Assumptions!B4*(1+Assumptions!B14)*Assumptions!D25</f>
        <v>38699.531999999999</v>
      </c>
      <c r="D2" s="3">
        <f>Assumptions!B4*(1+Assumptions!B14)*Assumptions!E25</f>
        <v>41118.25275</v>
      </c>
      <c r="E2" s="3">
        <f>Assumptions!B4*(1+Assumptions!B14)*Assumptions!F25</f>
        <v>41118.25275</v>
      </c>
      <c r="F2" s="3">
        <f>Assumptions!B4*(1+Assumptions!B14)*Assumptions!G25</f>
        <v>48374.415000000001</v>
      </c>
      <c r="G2" s="3">
        <f>Assumptions!B4*(1+Assumptions!B14)*Assumptions!H25</f>
        <v>50793.135749999994</v>
      </c>
      <c r="H2" s="3">
        <f>Assumptions!B4*(1+Assumptions!B14)*Assumptions!I25</f>
        <v>50793.135749999994</v>
      </c>
      <c r="I2" s="3">
        <f>Assumptions!B4*(1+Assumptions!B14)*Assumptions!J25</f>
        <v>43536.973499999993</v>
      </c>
      <c r="J2" s="3">
        <f>Assumptions!B4*(1+Assumptions!B14)*Assumptions!K25</f>
        <v>36280.811249999999</v>
      </c>
      <c r="K2" s="3">
        <f>Assumptions!B4*(1+Assumptions!B14)*Assumptions!L25</f>
        <v>31443.369749999998</v>
      </c>
      <c r="L2" s="3">
        <f>Assumptions!B4*(1+Assumptions!B14)*Assumptions!M25</f>
        <v>33862.090499999998</v>
      </c>
      <c r="M2" s="3">
        <f>Assumptions!B4*(1+Assumptions!B14)*Assumptions!N25</f>
        <v>0</v>
      </c>
      <c r="O2">
        <f>SUM(B2:M2)</f>
        <v>449882.05949999997</v>
      </c>
    </row>
    <row r="3" spans="1:15" x14ac:dyDescent="0.2">
      <c r="A3" t="s">
        <v>64</v>
      </c>
      <c r="B3" s="3">
        <f>B2*(1-Assumptions!B15)</f>
        <v>25396.567875000001</v>
      </c>
      <c r="C3" s="3">
        <f>C2*(1-Assumptions!B15)</f>
        <v>29024.648999999998</v>
      </c>
      <c r="D3" s="3">
        <f>D2*(1-Assumptions!B15)</f>
        <v>30838.6895625</v>
      </c>
      <c r="E3" s="3">
        <f>E2*(1-Assumptions!B15)</f>
        <v>30838.6895625</v>
      </c>
      <c r="F3" s="3">
        <f>F2*(1-Assumptions!B15)</f>
        <v>36280.811249999999</v>
      </c>
      <c r="G3" s="3">
        <f>G2*(1-Assumptions!B15)</f>
        <v>38094.851812499997</v>
      </c>
      <c r="H3" s="3">
        <f>H2*(1-Assumptions!B15)</f>
        <v>38094.851812499997</v>
      </c>
      <c r="I3" s="3">
        <f>I2*(1-Assumptions!B15)</f>
        <v>32652.730124999995</v>
      </c>
      <c r="J3" s="3">
        <f>J2*(1-Assumptions!B15)</f>
        <v>27210.608437499999</v>
      </c>
      <c r="K3" s="3">
        <f>K2*(1-Assumptions!B15)</f>
        <v>23582.527312499999</v>
      </c>
      <c r="L3" s="3">
        <f>L2*(1-Assumptions!B15)</f>
        <v>25396.567875000001</v>
      </c>
      <c r="M3" s="3">
        <f>M2*(1-Assumptions!B15)</f>
        <v>0</v>
      </c>
      <c r="O3">
        <f>SUM(B3:M3)</f>
        <v>337411.54462499998</v>
      </c>
    </row>
    <row r="4" spans="1:15" x14ac:dyDescent="0.2">
      <c r="A4" t="s">
        <v>65</v>
      </c>
      <c r="B4" s="3">
        <f t="shared" ref="B4:M4" si="0">B2-B3</f>
        <v>8465.5226249999978</v>
      </c>
      <c r="C4" s="3">
        <f t="shared" si="0"/>
        <v>9674.8830000000016</v>
      </c>
      <c r="D4" s="3">
        <f t="shared" si="0"/>
        <v>10279.5631875</v>
      </c>
      <c r="E4" s="3">
        <f t="shared" si="0"/>
        <v>10279.5631875</v>
      </c>
      <c r="F4" s="3">
        <f t="shared" si="0"/>
        <v>12093.603750000002</v>
      </c>
      <c r="G4" s="3">
        <f t="shared" si="0"/>
        <v>12698.283937499997</v>
      </c>
      <c r="H4" s="3">
        <f t="shared" si="0"/>
        <v>12698.283937499997</v>
      </c>
      <c r="I4" s="3">
        <f t="shared" si="0"/>
        <v>10884.243374999998</v>
      </c>
      <c r="J4" s="3">
        <f t="shared" si="0"/>
        <v>9070.2028124999997</v>
      </c>
      <c r="K4" s="3">
        <f t="shared" si="0"/>
        <v>7860.8424374999995</v>
      </c>
      <c r="L4" s="3">
        <f t="shared" si="0"/>
        <v>8465.5226249999978</v>
      </c>
      <c r="M4" s="3">
        <f t="shared" si="0"/>
        <v>0</v>
      </c>
      <c r="O4">
        <f>SUM(B4:M4)</f>
        <v>112470.51487499999</v>
      </c>
    </row>
    <row r="5" spans="1:15" x14ac:dyDescent="0.2">
      <c r="A5" t="s">
        <v>66</v>
      </c>
      <c r="B5" s="3">
        <f>Assumptions!B16*B2</f>
        <v>17608.287059999999</v>
      </c>
      <c r="C5" s="3">
        <f>Assumptions!B16*C2</f>
        <v>20123.75664</v>
      </c>
      <c r="D5" s="3">
        <f>Assumptions!B16*D2</f>
        <v>21381.491430000002</v>
      </c>
      <c r="E5" s="3">
        <f>Assumptions!B16*E2</f>
        <v>21381.491430000002</v>
      </c>
      <c r="F5" s="3">
        <f>Assumptions!B16*F2</f>
        <v>25154.695800000001</v>
      </c>
      <c r="G5" s="3">
        <f>Assumptions!B16*G2</f>
        <v>26412.430589999996</v>
      </c>
      <c r="H5" s="3">
        <f>Assumptions!B16*H2</f>
        <v>26412.430589999996</v>
      </c>
      <c r="I5" s="3">
        <f>Assumptions!B16*I2</f>
        <v>22639.226219999997</v>
      </c>
      <c r="J5" s="3">
        <f>Assumptions!B16*J2</f>
        <v>18866.021850000001</v>
      </c>
      <c r="K5" s="3">
        <f>Assumptions!B16*K2</f>
        <v>16350.55227</v>
      </c>
      <c r="L5" s="3">
        <f>Assumptions!B16*L2</f>
        <v>17608.287059999999</v>
      </c>
      <c r="M5" s="3">
        <f>Assumptions!B16*M2</f>
        <v>0</v>
      </c>
      <c r="O5">
        <f>SUM(B5:M5)</f>
        <v>233938.67093999998</v>
      </c>
    </row>
    <row r="6" spans="1:15" x14ac:dyDescent="0.2">
      <c r="A6" t="s">
        <v>67</v>
      </c>
      <c r="B6" s="3">
        <f t="shared" ref="B6:M6" si="1">B4-B5</f>
        <v>-9142.764435000001</v>
      </c>
      <c r="C6" s="3">
        <f t="shared" si="1"/>
        <v>-10448.873639999998</v>
      </c>
      <c r="D6" s="3">
        <f t="shared" si="1"/>
        <v>-11101.928242500002</v>
      </c>
      <c r="E6" s="3">
        <f t="shared" si="1"/>
        <v>-11101.928242500002</v>
      </c>
      <c r="F6" s="3">
        <f t="shared" si="1"/>
        <v>-13061.092049999999</v>
      </c>
      <c r="G6" s="3">
        <f t="shared" si="1"/>
        <v>-13714.1466525</v>
      </c>
      <c r="H6" s="3">
        <f t="shared" si="1"/>
        <v>-13714.1466525</v>
      </c>
      <c r="I6" s="3">
        <f t="shared" si="1"/>
        <v>-11754.982844999999</v>
      </c>
      <c r="J6" s="3">
        <f t="shared" si="1"/>
        <v>-9795.8190375000013</v>
      </c>
      <c r="K6" s="3">
        <f t="shared" si="1"/>
        <v>-8489.7098325000006</v>
      </c>
      <c r="L6" s="3">
        <f t="shared" si="1"/>
        <v>-9142.764435000001</v>
      </c>
      <c r="M6" s="3">
        <f t="shared" si="1"/>
        <v>0</v>
      </c>
      <c r="O6">
        <f>SUM(B6:M6)</f>
        <v>-121468.15606499999</v>
      </c>
    </row>
    <row r="7" spans="1:15" x14ac:dyDescent="0.2">
      <c r="A7" t="s">
        <v>68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O7" s="4">
        <f>IF(O2&gt;0,O4/O2,"")</f>
        <v>0.25</v>
      </c>
    </row>
    <row r="8" spans="1:15" x14ac:dyDescent="0.2">
      <c r="A8" t="s">
        <v>69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O8" s="4">
        <f>IF(O2&gt;0,O5/O2,"")</f>
        <v>0.52</v>
      </c>
    </row>
    <row r="9" spans="1:15" x14ac:dyDescent="0.2">
      <c r="A9" t="s">
        <v>70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O9" s="4">
        <f>IF(O2&gt;0,O6/O2,"")</f>
        <v>-0.26999999999999996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/>
  </sheetViews>
  <sheetFormatPr baseColWidth="10" defaultColWidth="8.83203125" defaultRowHeight="15" x14ac:dyDescent="0.2"/>
  <cols>
    <col min="1" max="1" width="24" customWidth="1"/>
    <col min="2" max="13" width="12" customWidth="1"/>
    <col min="15" max="15" width="36" customWidth="1"/>
  </cols>
  <sheetData>
    <row r="1" spans="1:15" s="1" customFormat="1" x14ac:dyDescent="0.2">
      <c r="A1" s="5" t="s">
        <v>61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71</v>
      </c>
    </row>
    <row r="2" spans="1:15" x14ac:dyDescent="0.2">
      <c r="A2" t="s">
        <v>63</v>
      </c>
      <c r="B2" s="3">
        <v>104.76963636363639</v>
      </c>
      <c r="C2" s="3">
        <v>104.76963636363639</v>
      </c>
      <c r="D2" s="3">
        <v>119.73672727272729</v>
      </c>
      <c r="E2" s="3">
        <v>232.72968518518519</v>
      </c>
      <c r="F2" s="3">
        <v>232.72968518518519</v>
      </c>
      <c r="G2" s="3">
        <v>273.79962962962958</v>
      </c>
      <c r="O2" s="3">
        <f>SUM(B2:G2)</f>
        <v>1068.5350000000001</v>
      </c>
    </row>
    <row r="3" spans="1:15" x14ac:dyDescent="0.2">
      <c r="A3" t="s">
        <v>64</v>
      </c>
      <c r="B3" s="3">
        <f>B2*(1-0.523)</f>
        <v>49.975116545454561</v>
      </c>
      <c r="C3" s="3">
        <f>C2*(1-0.523)</f>
        <v>49.975116545454561</v>
      </c>
      <c r="D3" s="3">
        <f>D2*(1-0.523)</f>
        <v>57.114418909090915</v>
      </c>
      <c r="E3" s="3">
        <f>E2*(1-0.515)</f>
        <v>112.87389731481481</v>
      </c>
      <c r="F3" s="3">
        <f>F2*(1-0.515)</f>
        <v>112.87389731481481</v>
      </c>
      <c r="G3" s="3">
        <f>G2*(1-0.515)</f>
        <v>132.79282037037035</v>
      </c>
      <c r="O3" s="3">
        <f>SUM(B3:G3)</f>
        <v>515.60526700000003</v>
      </c>
    </row>
    <row r="4" spans="1:15" x14ac:dyDescent="0.2">
      <c r="A4" t="s">
        <v>65</v>
      </c>
      <c r="B4" s="3">
        <f t="shared" ref="B4:G4" si="0">B2-B3</f>
        <v>54.794519818181833</v>
      </c>
      <c r="C4" s="3">
        <f t="shared" si="0"/>
        <v>54.794519818181833</v>
      </c>
      <c r="D4" s="3">
        <f t="shared" si="0"/>
        <v>62.622308363636378</v>
      </c>
      <c r="E4" s="3">
        <f t="shared" si="0"/>
        <v>119.85578787037038</v>
      </c>
      <c r="F4" s="3">
        <f t="shared" si="0"/>
        <v>119.85578787037038</v>
      </c>
      <c r="G4" s="3">
        <f t="shared" si="0"/>
        <v>141.00680925925923</v>
      </c>
      <c r="O4" s="3">
        <f>SUM(B4:G4)</f>
        <v>552.92973299999994</v>
      </c>
    </row>
    <row r="5" spans="1:15" x14ac:dyDescent="0.2">
      <c r="A5" t="s">
        <v>66</v>
      </c>
      <c r="B5" s="3">
        <f>120.342*B2/329.276</f>
        <v>38.290636363636374</v>
      </c>
      <c r="C5" s="3">
        <f>120.342*C2/329.276</f>
        <v>38.290636363636374</v>
      </c>
      <c r="D5" s="3">
        <f>120.342*D2/329.276</f>
        <v>43.76072727272728</v>
      </c>
      <c r="E5" s="3">
        <f>237.886*E2/739.259</f>
        <v>74.890037037037033</v>
      </c>
      <c r="F5" s="3">
        <f>237.886*F2/739.259</f>
        <v>74.890037037037033</v>
      </c>
      <c r="G5" s="3">
        <f>237.886*G2/739.259</f>
        <v>88.105925925925902</v>
      </c>
      <c r="O5" s="3">
        <f>SUM(B5:G5)</f>
        <v>358.22799999999995</v>
      </c>
    </row>
    <row r="6" spans="1:15" x14ac:dyDescent="0.2">
      <c r="A6" t="s">
        <v>67</v>
      </c>
      <c r="B6" s="3">
        <f t="shared" ref="B6:G6" si="1">B4-B5</f>
        <v>16.503883454545459</v>
      </c>
      <c r="C6" s="3">
        <f t="shared" si="1"/>
        <v>16.503883454545459</v>
      </c>
      <c r="D6" s="3">
        <f t="shared" si="1"/>
        <v>18.861581090909098</v>
      </c>
      <c r="E6" s="3">
        <f t="shared" si="1"/>
        <v>44.965750833333345</v>
      </c>
      <c r="F6" s="3">
        <f t="shared" si="1"/>
        <v>44.965750833333345</v>
      </c>
      <c r="G6" s="3">
        <f t="shared" si="1"/>
        <v>52.900883333333326</v>
      </c>
      <c r="O6" s="3">
        <f>SUM(B6:G6)</f>
        <v>194.70173300000002</v>
      </c>
    </row>
    <row r="7" spans="1:15" x14ac:dyDescent="0.2">
      <c r="A7" t="s">
        <v>68</v>
      </c>
      <c r="B7" s="4">
        <f t="shared" ref="B7:G7" si="2">IF(B2&gt;0,B4/B2,"")</f>
        <v>0.52300000000000002</v>
      </c>
      <c r="C7" s="4">
        <f t="shared" si="2"/>
        <v>0.52300000000000002</v>
      </c>
      <c r="D7" s="4">
        <f t="shared" si="2"/>
        <v>0.52300000000000002</v>
      </c>
      <c r="E7" s="4">
        <f t="shared" si="2"/>
        <v>0.51500000000000001</v>
      </c>
      <c r="F7" s="4">
        <f t="shared" si="2"/>
        <v>0.51500000000000001</v>
      </c>
      <c r="G7" s="4">
        <f t="shared" si="2"/>
        <v>0.51500000000000001</v>
      </c>
      <c r="O7" s="4">
        <f>IF(O2&gt;0,O4/O2,"")</f>
        <v>0.51746525195711879</v>
      </c>
    </row>
    <row r="8" spans="1:15" x14ac:dyDescent="0.2">
      <c r="A8" t="s">
        <v>69</v>
      </c>
      <c r="B8" s="4">
        <f t="shared" ref="B8:G8" si="3">IF(B2&gt;0,B5/B2,"")</f>
        <v>0.36547455629927478</v>
      </c>
      <c r="C8" s="4">
        <f t="shared" si="3"/>
        <v>0.36547455629927478</v>
      </c>
      <c r="D8" s="4">
        <f t="shared" si="3"/>
        <v>0.36547455629927478</v>
      </c>
      <c r="E8" s="4">
        <f t="shared" si="3"/>
        <v>0.32178979221084897</v>
      </c>
      <c r="F8" s="4">
        <f t="shared" si="3"/>
        <v>0.32178979221084897</v>
      </c>
      <c r="G8" s="4">
        <f t="shared" si="3"/>
        <v>0.32178979221084897</v>
      </c>
      <c r="O8" s="4">
        <f>IF(O2&gt;0,O5/O2,"")</f>
        <v>0.33525153598150731</v>
      </c>
    </row>
    <row r="9" spans="1:15" x14ac:dyDescent="0.2">
      <c r="A9" t="s">
        <v>70</v>
      </c>
      <c r="B9" s="4">
        <f t="shared" ref="B9:G9" si="4">IF(B2&gt;0,B6/B2,"")</f>
        <v>0.15752544370072522</v>
      </c>
      <c r="C9" s="4">
        <f t="shared" si="4"/>
        <v>0.15752544370072522</v>
      </c>
      <c r="D9" s="4">
        <f t="shared" si="4"/>
        <v>0.15752544370072527</v>
      </c>
      <c r="E9" s="4">
        <f t="shared" si="4"/>
        <v>0.19321020778915107</v>
      </c>
      <c r="F9" s="4">
        <f t="shared" si="4"/>
        <v>0.19321020778915107</v>
      </c>
      <c r="G9" s="4">
        <f t="shared" si="4"/>
        <v>0.19321020778915104</v>
      </c>
      <c r="O9" s="4">
        <f>IF(O2&gt;0,O6/O2,"")</f>
        <v>0.18221371597561148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cols>
    <col min="1" max="1" width="34" customWidth="1"/>
    <col min="2" max="2" width="16" customWidth="1"/>
    <col min="3" max="3" width="80" customWidth="1"/>
  </cols>
  <sheetData>
    <row r="1" spans="1:3" s="1" customFormat="1" x14ac:dyDescent="0.2">
      <c r="A1" t="s">
        <v>72</v>
      </c>
      <c r="B1" t="s">
        <v>73</v>
      </c>
      <c r="C1" t="s">
        <v>2</v>
      </c>
    </row>
    <row r="2" spans="1:3" x14ac:dyDescent="0.2">
      <c r="A2" t="s">
        <v>74</v>
      </c>
      <c r="B2" s="3">
        <f>SUM(Plan_2025!B2:G2)</f>
        <v>253965.67874999999</v>
      </c>
    </row>
    <row r="3" spans="1:3" x14ac:dyDescent="0.2">
      <c r="A3" t="s">
        <v>75</v>
      </c>
      <c r="B3" s="3">
        <f>Actuals_2025!O2</f>
        <v>1068.5350000000001</v>
      </c>
    </row>
    <row r="4" spans="1:3" x14ac:dyDescent="0.2">
      <c r="A4" t="s">
        <v>76</v>
      </c>
      <c r="B4" s="3">
        <f>Assumptions!B8</f>
        <v>739.25900000000001</v>
      </c>
      <c r="C4" t="s">
        <v>77</v>
      </c>
    </row>
    <row r="5" spans="1:3" x14ac:dyDescent="0.2">
      <c r="A5" t="s">
        <v>78</v>
      </c>
      <c r="B5" t="s">
        <v>79</v>
      </c>
      <c r="C5" t="s">
        <v>80</v>
      </c>
    </row>
    <row r="6" spans="1:3" x14ac:dyDescent="0.2">
      <c r="A6" t="s">
        <v>81</v>
      </c>
      <c r="B6" s="3">
        <f>B3-B2-B4-B5</f>
        <v>-253636.40274999998</v>
      </c>
      <c r="C6" t="s">
        <v>82</v>
      </c>
    </row>
    <row r="7" spans="1:3" x14ac:dyDescent="0.2">
      <c r="A7" t="s">
        <v>83</v>
      </c>
      <c r="B7" s="3">
        <f>B3-B2</f>
        <v>-252897.14374999999</v>
      </c>
      <c r="C7" t="s">
        <v>84</v>
      </c>
    </row>
    <row r="9" spans="1:3" x14ac:dyDescent="0.2">
      <c r="A9" t="s">
        <v>85</v>
      </c>
      <c r="B9" s="3">
        <f>(1-Actuals_2025!O7)-(1-Assumptions!B15)</f>
        <v>-0.26746525195711879</v>
      </c>
      <c r="C9" t="s">
        <v>86</v>
      </c>
    </row>
    <row r="10" spans="1:3" x14ac:dyDescent="0.2">
      <c r="A10" t="s">
        <v>87</v>
      </c>
      <c r="B10" s="3" t="str">
        <f ca="1">B10*Actuals_2025!O2</f>
        <v/>
      </c>
    </row>
    <row r="11" spans="1:3" x14ac:dyDescent="0.2">
      <c r="A11" t="s">
        <v>88</v>
      </c>
      <c r="B11" s="3">
        <f>Actuals_2025!O5 - SUM(Plan_2025!B5:G5)</f>
        <v>-131703.92494999999</v>
      </c>
    </row>
    <row r="12" spans="1:3" x14ac:dyDescent="0.2">
      <c r="A12" t="s">
        <v>89</v>
      </c>
      <c r="B12" s="3">
        <f>(Actuals_2025!O6 - SUM(Plan_2025!B6:G6))</f>
        <v>68765.434995499993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83203125" defaultRowHeight="15" x14ac:dyDescent="0.2"/>
  <cols>
    <col min="1" max="1" width="26" customWidth="1"/>
    <col min="2" max="4" width="16" customWidth="1"/>
    <col min="5" max="5" width="68" customWidth="1"/>
  </cols>
  <sheetData>
    <row r="1" spans="1:5" s="1" customFormat="1" x14ac:dyDescent="0.2">
      <c r="A1" t="s">
        <v>90</v>
      </c>
      <c r="B1" t="s">
        <v>91</v>
      </c>
      <c r="C1" t="s">
        <v>92</v>
      </c>
      <c r="D1" t="s">
        <v>93</v>
      </c>
      <c r="E1" t="s">
        <v>2</v>
      </c>
    </row>
    <row r="2" spans="1:5" x14ac:dyDescent="0.2">
      <c r="A2" t="s">
        <v>63</v>
      </c>
      <c r="B2" s="3">
        <f>SUM(Plan_2025!B2:G2)</f>
        <v>253965.67874999999</v>
      </c>
      <c r="C2" s="3">
        <f>Actuals_2025!O2</f>
        <v>1068.5350000000001</v>
      </c>
      <c r="D2" s="3">
        <f>C2-B2</f>
        <v>-252897.14374999999</v>
      </c>
    </row>
    <row r="3" spans="1:5" x14ac:dyDescent="0.2">
      <c r="A3" t="s">
        <v>65</v>
      </c>
      <c r="B3" s="3">
        <f>SUM(Plan_2025!B4:G4)</f>
        <v>63491.419687499998</v>
      </c>
      <c r="C3" s="3">
        <f>Actuals_2025!O4</f>
        <v>552.92973299999994</v>
      </c>
      <c r="D3" s="3">
        <f>C3-B3</f>
        <v>-62938.489954500001</v>
      </c>
    </row>
    <row r="4" spans="1:5" x14ac:dyDescent="0.2">
      <c r="A4" t="s">
        <v>67</v>
      </c>
      <c r="B4" s="3">
        <f>SUM(Plan_2025!B6:G6)</f>
        <v>-68570.733262499998</v>
      </c>
      <c r="C4" s="3">
        <f>Actuals_2025!O6</f>
        <v>194.70173300000002</v>
      </c>
      <c r="D4" s="3">
        <f>C4-B4</f>
        <v>68765.434995499993</v>
      </c>
    </row>
    <row r="5" spans="1:5" x14ac:dyDescent="0.2">
      <c r="A5" t="s">
        <v>68</v>
      </c>
      <c r="B5" s="4">
        <f>IF(B2&gt;0,SUM(Plan_2025!B4:G4)/B2,"")</f>
        <v>0.25</v>
      </c>
      <c r="C5" s="4">
        <f>IF(C2&gt;0,C3/C2,"")</f>
        <v>0.51746525195711879</v>
      </c>
      <c r="D5">
        <f>C5-B5</f>
        <v>0.26746525195711879</v>
      </c>
    </row>
    <row r="6" spans="1:5" x14ac:dyDescent="0.2">
      <c r="A6" t="s">
        <v>69</v>
      </c>
      <c r="B6" s="4">
        <f>IF(B2&gt;0,SUM(Plan_2025!B5:G5)/B2,"")</f>
        <v>0.52</v>
      </c>
      <c r="C6" s="4">
        <f>IF(C2&gt;0,Actuals_2025!O5/C2,"")</f>
        <v>0.33525153598150731</v>
      </c>
      <c r="D6">
        <f>C6-B6</f>
        <v>-0.18474846401849271</v>
      </c>
      <c r="E6" t="s">
        <v>94</v>
      </c>
    </row>
    <row r="8" spans="1:5" x14ac:dyDescent="0.2">
      <c r="A8" t="s">
        <v>95</v>
      </c>
      <c r="E8" t="s">
        <v>96</v>
      </c>
    </row>
    <row r="9" spans="1:5" x14ac:dyDescent="0.2">
      <c r="A9" t="s">
        <v>97</v>
      </c>
      <c r="D9" s="3">
        <f>(Actuals_2025!O6)*(1-Assumptions!B17)</f>
        <v>147.97331708000002</v>
      </c>
    </row>
    <row r="10" spans="1:5" x14ac:dyDescent="0.2">
      <c r="A10" t="s">
        <v>98</v>
      </c>
      <c r="D10" s="3">
        <f>Assumptions!B19*Actuals_2025!O2</f>
        <v>21.370700000000003</v>
      </c>
    </row>
    <row r="11" spans="1:5" x14ac:dyDescent="0.2">
      <c r="A11" t="s">
        <v>99</v>
      </c>
      <c r="D11" s="3">
        <f>Assumptions!B18*Actuals_2025!O2</f>
        <v>267.13375000000002</v>
      </c>
    </row>
    <row r="12" spans="1:5" x14ac:dyDescent="0.2">
      <c r="A12" t="s">
        <v>100</v>
      </c>
      <c r="D12" s="3">
        <f>Assumptions!B20*Actuals_2025!O2 - Assumptions!B20*SUM(Plan_2025!B2:G2)</f>
        <v>-5057.9428749999997</v>
      </c>
      <c r="E12" t="s">
        <v>101</v>
      </c>
    </row>
    <row r="13" spans="1:5" x14ac:dyDescent="0.2">
      <c r="A13" t="s">
        <v>102</v>
      </c>
      <c r="D13" s="3">
        <f>D9 + D10 - D11 - D12</f>
        <v>4960.1531420800002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8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s="1" customFormat="1" x14ac:dyDescent="0.2">
      <c r="A1" t="s">
        <v>103</v>
      </c>
    </row>
    <row r="3" spans="1:1" x14ac:dyDescent="0.2">
      <c r="A3" t="str">
        <f>"Revenue YTD (Q2): $" &amp; TEXT(Dashboard!C2,"#,##0") &amp; "M vs Plan $" &amp; TEXT(Dashboard!B2,"#,##0") &amp; "M (∆ $" &amp; TEXT(Dashboard!D2,"#,##0") &amp; "). GM% " &amp; TEXT(Dashboard!C5,"0.0%") &amp; " vs Plan " &amp; TEXT(Dashboard!B5,"0.0%") &amp; "; SG&amp;A% " &amp; TEXT(Dashboard!C6,"0.0%") &amp; " vs Plan " &amp; TEXT(Dashboard!B6,"0.0%") &amp; "."</f>
        <v>Revenue YTD (Q2): $1,069M vs Plan $253,966M (∆ $-252,897). GM% 51.7% vs Plan 25.0%; SG&amp;A% 33.5% vs Plan 52.0%.</v>
      </c>
    </row>
    <row r="5" spans="1:1" x14ac:dyDescent="0.2">
      <c r="A5" t="str">
        <f>"Variance bridge (Revenue): M&amp;A (Alani Nu) $" &amp; TEXT(Bridge_YTD_Q2!B4,"#,##0") &amp; "; Price $" &amp; TEXT(Bridge_YTD_Q2!B5,"#,##0") &amp; "; Volume/Mix $" &amp; TEXT(Bridge_YTD_Q2!B6,"#,##0") &amp; " (check total $" &amp; TEXT(Bridge_YTD_Q2!B7,"#,##0") &amp; ")."</f>
        <v>Variance bridge (Revenue): M&amp;A (Alani Nu) $739; Price $0; Volume/Mix $-253,636 (check total $-252,897).</v>
      </c>
    </row>
    <row r="7" spans="1:1" x14ac:dyDescent="0.2">
      <c r="A7" t="s">
        <v>104</v>
      </c>
    </row>
    <row r="8" spans="1:1" x14ac:dyDescent="0.2">
      <c r="A8" t="s">
        <v>105</v>
      </c>
    </row>
    <row r="9" spans="1:1" x14ac:dyDescent="0.2">
      <c r="A9" t="s">
        <v>106</v>
      </c>
    </row>
    <row r="10" spans="1:1" x14ac:dyDescent="0.2">
      <c r="A10" t="s">
        <v>107</v>
      </c>
    </row>
    <row r="12" spans="1:1" x14ac:dyDescent="0.2">
      <c r="A12" t="s">
        <v>108</v>
      </c>
    </row>
    <row r="13" spans="1:1" x14ac:dyDescent="0.2">
      <c r="A13" t="s">
        <v>109</v>
      </c>
    </row>
    <row r="14" spans="1:1" x14ac:dyDescent="0.2">
      <c r="A14" t="s">
        <v>110</v>
      </c>
    </row>
    <row r="15" spans="1:1" x14ac:dyDescent="0.2">
      <c r="A15" t="s">
        <v>111</v>
      </c>
    </row>
    <row r="17" spans="1:1" x14ac:dyDescent="0.2">
      <c r="A17" t="s">
        <v>112</v>
      </c>
    </row>
    <row r="18" spans="1:1" x14ac:dyDescent="0.2">
      <c r="A18" t="str">
        <f>"GM% headroom vs plan: " &amp; TEXT(Dashboard!C5 - Dashboard!B5,"0.0%") &amp; " | SG&amp;A% headroom vs plan: " &amp; TEXT(Dashboard!B6 - Dashboard!C6,"0.0%")</f>
        <v>GM% headroom vs plan: 26.7% | SG&amp;A% headroom vs plan: 18.5%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10" customWidth="1"/>
  </cols>
  <sheetData>
    <row r="1" spans="1:1" s="1" customFormat="1" x14ac:dyDescent="0.2">
      <c r="A1" t="s">
        <v>113</v>
      </c>
    </row>
    <row r="2" spans="1:1" x14ac:dyDescent="0.2">
      <c r="A2" t="s">
        <v>114</v>
      </c>
    </row>
    <row r="3" spans="1:1" x14ac:dyDescent="0.2">
      <c r="A3" t="s">
        <v>115</v>
      </c>
    </row>
    <row r="4" spans="1:1" x14ac:dyDescent="0.2">
      <c r="A4" t="s">
        <v>116</v>
      </c>
    </row>
    <row r="5" spans="1:1" x14ac:dyDescent="0.2">
      <c r="A5" t="s">
        <v>117</v>
      </c>
    </row>
    <row r="6" spans="1:1" x14ac:dyDescent="0.2">
      <c r="A6" t="s">
        <v>118</v>
      </c>
    </row>
    <row r="7" spans="1:1" x14ac:dyDescent="0.2">
      <c r="A7" t="s">
        <v>119</v>
      </c>
    </row>
    <row r="8" spans="1:1" x14ac:dyDescent="0.2">
      <c r="A8" t="s">
        <v>120</v>
      </c>
    </row>
    <row r="9" spans="1:1" x14ac:dyDescent="0.2">
      <c r="A9" t="s">
        <v>121</v>
      </c>
    </row>
    <row r="10" spans="1:1" x14ac:dyDescent="0.2">
      <c r="A10" t="s">
        <v>122</v>
      </c>
    </row>
    <row r="11" spans="1:1" x14ac:dyDescent="0.2">
      <c r="A11" t="s">
        <v>123</v>
      </c>
    </row>
    <row r="12" spans="1:1" x14ac:dyDescent="0.2">
      <c r="A1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Plan_2025</vt:lpstr>
      <vt:lpstr>Actuals_2025</vt:lpstr>
      <vt:lpstr>Bridge_YTD_Q2</vt:lpstr>
      <vt:lpstr>Dashboard</vt:lpstr>
      <vt:lpstr>Exec_Memo</vt:lpstr>
      <vt:lpstr>Guide_&amp;_Sources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Markov</cp:lastModifiedBy>
  <dcterms:created xsi:type="dcterms:W3CDTF">2025-10-10T19:10:57Z</dcterms:created>
  <dcterms:modified xsi:type="dcterms:W3CDTF">2025-10-10T21:52:21Z</dcterms:modified>
</cp:coreProperties>
</file>